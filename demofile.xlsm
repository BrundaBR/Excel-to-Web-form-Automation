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tables/table2.xml" ContentType="application/vnd.openxmlformats-officedocument.spreadsheetml.table+xml"/>
  <Override PartName="/xl/tables/table1.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3.xml" ContentType="application/vnd.openxmlformats-officedocument.spreadsheetml.table+xml"/>
  <Override PartName="/xl/styles.xml" ContentType="application/vnd.openxmlformats-officedocument.spreadsheetml.styles+xml"/>
  <Override PartName="/xl/worksheets/_rels/sheet7.xml.rels" ContentType="application/vnd.openxmlformats-package.relationships+xml"/>
  <Override PartName="/xl/worksheets/_rels/sheet15.xml.rels" ContentType="application/vnd.openxmlformats-package.relationships+xml"/>
  <Override PartName="/xl/worksheets/_rels/sheet9.xml.rels" ContentType="application/vnd.openxmlformats-package.relationships+xml"/>
  <Override PartName="/xl/worksheets/_rels/sheet16.xml.rels" ContentType="application/vnd.openxmlformats-package.relationships+xml"/>
  <Override PartName="/xl/worksheets/_rels/sheet13.xml.rels" ContentType="application/vnd.openxmlformats-package.relationships+xml"/>
  <Override PartName="/xl/worksheets/_rels/sheet8.xml.rels" ContentType="application/vnd.openxmlformats-package.relationships+xml"/>
  <Override PartName="/xl/worksheets/_rels/sheet12.xml.rels" ContentType="application/vnd.openxmlformats-package.relationships+xml"/>
  <Override PartName="/xl/worksheets/_rels/sheet5.xml.rels" ContentType="application/vnd.openxmlformats-package.relationships+xml"/>
  <Override PartName="/xl/worksheets/_rels/sheet6.xml.rels" ContentType="application/vnd.openxmlformats-package.relationships+xml"/>
  <Override PartName="/xl/worksheets/_rels/sheet14.xml.rels" ContentType="application/vnd.openxmlformats-package.relationships+xml"/>
  <Override PartName="/xl/worksheets/_rels/sheet11.xml.rels" ContentType="application/vnd.openxmlformats-package.relationships+xml"/>
  <Override PartName="/xl/worksheets/_rels/sheet4.xml.rels" ContentType="application/vnd.openxmlformats-package.relationships+xml"/>
  <Override PartName="/xl/worksheets/_rels/sheet10.xml.rels" ContentType="application/vnd.openxmlformats-package.relationships+xml"/>
  <Override PartName="/xl/worksheets/_rels/sheet3.xml.rels" ContentType="application/vnd.openxmlformats-package.relationships+xml"/>
  <Override PartName="/xl/worksheets/_rels/sheet2.xml.rels" ContentType="application/vnd.openxmlformats-package.relationships+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5.xml" ContentType="application/vnd.openxmlformats-officedocument.spreadsheetml.worksheet+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3.xml" ContentType="application/vnd.openxmlformats-officedocument.spreadsheetml.worksheet+xml"/>
  <Override PartName="/xl/worksheets/sheet12.xml" ContentType="application/vnd.openxmlformats-officedocument.spreadsheetml.worksheet+xml"/>
  <Override PartName="/xl/worksheets/sheet4.xml" ContentType="application/vnd.openxmlformats-officedocument.spreadsheetml.worksheet+xml"/>
  <Override PartName="/xl/worksheets/sheet13.xml" ContentType="application/vnd.openxmlformats-officedocument.spreadsheetml.worksheet+xml"/>
  <Override PartName="/xl/comments3.xml" ContentType="application/vnd.openxmlformats-officedocument.spreadsheetml.comments+xml"/>
  <Override PartName="/xl/_rels/workbook.xml.rels" ContentType="application/vnd.openxmlformats-package.relationships+xml"/>
  <Override PartName="/xl/sharedStrings.xml" ContentType="application/vnd.openxmlformats-officedocument.spreadsheetml.sharedStrings+xml"/>
  <Override PartName="/xl/drawings/_rels/drawing12.xml.rels" ContentType="application/vnd.openxmlformats-package.relationships+xml"/>
  <Override PartName="/xl/drawings/_rels/drawing2.xml.rels" ContentType="application/vnd.openxmlformats-package.relationships+xml"/>
  <Override PartName="/xl/drawings/_rels/drawing9.xml.rels" ContentType="application/vnd.openxmlformats-package.relationships+xml"/>
  <Override PartName="/xl/drawings/_rels/drawing3.xml.rels" ContentType="application/vnd.openxmlformats-package.relationships+xml"/>
  <Override PartName="/xl/drawings/_rels/drawing8.xml.rels" ContentType="application/vnd.openxmlformats-package.relationships+xml"/>
  <Override PartName="/xl/drawings/_rels/drawing15.xml.rels" ContentType="application/vnd.openxmlformats-package.relationships+xml"/>
  <Override PartName="/xl/drawings/_rels/drawing14.xml.rels" ContentType="application/vnd.openxmlformats-package.relationships+xml"/>
  <Override PartName="/xl/drawings/_rels/drawing11.xml.rels" ContentType="application/vnd.openxmlformats-package.relationships+xml"/>
  <Override PartName="/xl/drawings/_rels/drawing13.xml.rels" ContentType="application/vnd.openxmlformats-package.relationships+xml"/>
  <Override PartName="/xl/drawings/_rels/drawing10.xml.rels" ContentType="application/vnd.openxmlformats-package.relationships+xml"/>
  <Override PartName="/xl/drawings/_rels/drawing1.xml.rels" ContentType="application/vnd.openxmlformats-package.relationships+xml"/>
  <Override PartName="/xl/drawings/_rels/drawing4.xml.rels" ContentType="application/vnd.openxmlformats-package.relationships+xml"/>
  <Override PartName="/xl/drawings/_rels/drawing5.xml.rels" ContentType="application/vnd.openxmlformats-package.relationships+xml"/>
  <Override PartName="/xl/drawings/_rels/drawing6.xml.rels" ContentType="application/vnd.openxmlformats-package.relationships+xml"/>
  <Override PartName="/xl/drawings/_rels/drawing7.xml.rels" ContentType="application/vnd.openxmlformats-package.relationships+xml"/>
  <Override PartName="/xl/drawings/drawing9.xml" ContentType="application/vnd.openxmlformats-officedocument.drawing+xml"/>
  <Override PartName="/xl/drawings/drawing8.xml" ContentType="application/vnd.openxmlformats-officedocument.drawing+xml"/>
  <Override PartName="/xl/drawings/drawing12.xml" ContentType="application/vnd.openxmlformats-officedocument.drawing+xml"/>
  <Override PartName="/xl/drawings/drawing15.xml" ContentType="application/vnd.openxmlformats-officedocument.drawing+xml"/>
  <Override PartName="/xl/drawings/drawing14.xml" ContentType="application/vnd.openxmlformats-officedocument.drawing+xml"/>
  <Override PartName="/xl/drawings/drawing13.xml" ContentType="application/vnd.openxmlformats-officedocument.drawing+xml"/>
  <Override PartName="/xl/drawings/drawing1.xml" ContentType="application/vnd.openxmlformats-officedocument.drawing+xml"/>
  <Override PartName="/xl/drawings/drawing2.xml" ContentType="application/vnd.openxmlformats-officedocument.drawing+xml"/>
  <Override PartName="/xl/drawings/vmlDrawing1.vml" ContentType="application/vnd.openxmlformats-officedocument.vmlDrawing"/>
  <Override PartName="/xl/drawings/drawing6.xml" ContentType="application/vnd.openxmlformats-officedocument.drawing+xml"/>
  <Override PartName="/xl/drawings/drawing11.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10.xml" ContentType="application/vnd.openxmlformats-officedocument.drawing+xml"/>
  <Override PartName="/xl/drawings/drawing7.xml" ContentType="application/vnd.openxmlformats-officedocument.drawing+xml"/>
  <Override PartName="/xl/pivotTables/_rels/pivotTable1.xml.rels" ContentType="application/vnd.openxmlformats-package.relationships+xml"/>
  <Override PartName="/xl/pivotTables/pivotTable1.xml" ContentType="application/vnd.openxmlformats-officedocument.spreadsheetml.pivotTable+xml"/>
  <Override PartName="/xl/pivotCache/_rels/pivotCacheDefinition1.xml.rels" ContentType="application/vnd.openxmlformats-package.relationships+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Override PartName="/customXml/_rels/item1.xml.rels" ContentType="application/vnd.openxmlformats-package.relationships+xml"/>
  <Override PartName="/customXml/item1.xml" ContentType="application/xml"/>
  <Override PartName="/customXml/itemProps1.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1" activeTab="13"/>
  </bookViews>
  <sheets>
    <sheet name="AU,SG ICs" sheetId="1" state="hidden" r:id="rId3"/>
    <sheet name="Competitors Monitored" sheetId="2" state="visible" r:id="rId4"/>
    <sheet name="Matching Sheet" sheetId="3" state="visible" r:id="rId5"/>
    <sheet name="Stark listings" sheetId="4" state="visible" r:id="rId6"/>
    <sheet name="Tracker" sheetId="5" state="visible" r:id="rId7"/>
    <sheet name="Asin level Vibe" sheetId="6" state="visible" r:id="rId8"/>
    <sheet name="G2S2-Dump" sheetId="7" state="visible" r:id="rId9"/>
    <sheet name="NBB Competitor list" sheetId="8" state="visible" r:id="rId10"/>
    <sheet name="CTIG Repo" sheetId="9" state="visible" r:id="rId11"/>
    <sheet name="Reasons" sheetId="10" state="visible" r:id="rId12"/>
    <sheet name="Disclaimers" sheetId="11" state="visible" r:id="rId13"/>
    <sheet name="GL's Monitored" sheetId="12" state="visible" r:id="rId14"/>
    <sheet name="Retail Mail" sheetId="13" state="visible" r:id="rId15"/>
    <sheet name="Site Contents" sheetId="14" state="visible" r:id="rId16"/>
    <sheet name="Productivity Sheet" sheetId="15" state="visible" r:id="rId17"/>
    <sheet name="Important Links" sheetId="16" state="visible" r:id="rId18"/>
    <sheet name="Utils" sheetId="17" state="visible" r:id="rId19"/>
  </sheets>
  <definedNames>
    <definedName function="false" hidden="true" localSheetId="10" name="_xlnm._FilterDatabase" vbProcedure="false">Disclaimers!$A$2:$D$41</definedName>
    <definedName function="false" hidden="true" localSheetId="6" name="_xlnm._FilterDatabase" vbProcedure="false">'G2S2-Dump'!$A$1005:$B$1130</definedName>
    <definedName function="false" hidden="true" localSheetId="7" name="_xlnm._FilterDatabase" vbProcedure="false">'NBB Competitor list'!$A$2:$G$1071</definedName>
    <definedName function="false" hidden="true" localSheetId="3" name="_xlnm._FilterDatabase" vbProcedure="false">'Stark listings'!$A$2:$G$2</definedName>
  </definedNames>
  <calcPr iterateCount="100" refMode="A1" iterate="false" iterateDelta="0.0001"/>
  <pivotCaches>
    <pivotCache cacheId="1" r:id="rId21"/>
  </pivotCaches>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 </author>
  </authors>
  <commentList>
    <comment ref="G2" authorId="0">
      <text>
        <r>
          <rPr>
            <sz val="11"/>
            <color rgb="FF000000"/>
            <rFont val="Calibri"/>
            <family val="2"/>
            <charset val="1"/>
          </rPr>
          <t xml:space="preserve">Shetty, Supreeth:
</t>
        </r>
        <r>
          <rPr>
            <sz val="9"/>
            <color rgb="FF000000"/>
            <rFont val="Tahoma"/>
            <family val="2"/>
            <charset val="1"/>
          </rPr>
          <t xml:space="preserve">Use Shortcut 
(</t>
        </r>
        <r>
          <rPr>
            <b val="true"/>
            <sz val="9"/>
            <color rgb="FF000000"/>
            <rFont val="Tahoma"/>
            <family val="2"/>
            <charset val="1"/>
          </rPr>
          <t xml:space="preserve">Ctrl +;) </t>
        </r>
        <r>
          <rPr>
            <sz val="9"/>
            <color rgb="FF000000"/>
            <rFont val="Tahoma"/>
            <family val="2"/>
            <charset val="1"/>
          </rPr>
          <t xml:space="preserve">for current date
</t>
        </r>
      </text>
    </comment>
  </commentList>
</comments>
</file>

<file path=xl/sharedStrings.xml><?xml version="1.0" encoding="utf-8"?>
<sst xmlns="http://schemas.openxmlformats.org/spreadsheetml/2006/main" count="8149" uniqueCount="2645">
  <si>
    <t xml:space="preserve">ID</t>
  </si>
  <si>
    <t xml:space="preserve">MKPL</t>
  </si>
  <si>
    <t xml:space="preserve">Competitor</t>
  </si>
  <si>
    <t xml:space="preserve">Image Status</t>
  </si>
  <si>
    <t xml:space="preserve">Competitor URL</t>
  </si>
  <si>
    <t xml:space="preserve">Assigned</t>
  </si>
  <si>
    <t xml:space="preserve">AU</t>
  </si>
  <si>
    <t xml:space="preserve">ApplianceOnline-AU</t>
  </si>
  <si>
    <t xml:space="preserve">IC</t>
  </si>
  <si>
    <t xml:space="preserve">www.appliancesonline.com.au</t>
  </si>
  <si>
    <t xml:space="preserve">Tool</t>
  </si>
  <si>
    <t xml:space="preserve">BingLee-AU</t>
  </si>
  <si>
    <t xml:space="preserve">www.binglee.com.au</t>
  </si>
  <si>
    <t xml:space="preserve">Camerahouse-AU</t>
  </si>
  <si>
    <t xml:space="preserve">www.camerahouse.com.au</t>
  </si>
  <si>
    <t xml:space="preserve">FirstChoiceLiquor-AU</t>
  </si>
  <si>
    <t xml:space="preserve">https://www.firstchoiceliquor.com.au/</t>
  </si>
  <si>
    <t xml:space="preserve">Georges-AU</t>
  </si>
  <si>
    <t xml:space="preserve">https://www.georges.com.au</t>
  </si>
  <si>
    <t xml:space="preserve">Kmart-AU</t>
  </si>
  <si>
    <t xml:space="preserve">www.kmart.com.au/</t>
  </si>
  <si>
    <t xml:space="preserve">Kogan-AU</t>
  </si>
  <si>
    <t xml:space="preserve">https://www.kogan.com/au/</t>
  </si>
  <si>
    <t xml:space="preserve">Liquorland-AU</t>
  </si>
  <si>
    <t xml:space="preserve">http://www.liquorland.com.au</t>
  </si>
  <si>
    <t xml:space="preserve">MegaOfficeSupplies-AU</t>
  </si>
  <si>
    <t xml:space="preserve">www.megaofficesupplies.com.au</t>
  </si>
  <si>
    <t xml:space="preserve">Mightyape-AU</t>
  </si>
  <si>
    <t xml:space="preserve">https://www.mightyape.com.au</t>
  </si>
  <si>
    <t xml:space="preserve">Mobileciti-AU</t>
  </si>
  <si>
    <t xml:space="preserve">mobileciti.com.au</t>
  </si>
  <si>
    <t xml:space="preserve">Mwave-AU</t>
  </si>
  <si>
    <t xml:space="preserve">www.mwave.com.au</t>
  </si>
  <si>
    <t xml:space="preserve">mydeal.com</t>
  </si>
  <si>
    <t xml:space="preserve">www.mydeal.com.au</t>
  </si>
  <si>
    <t xml:space="preserve">Priceline-AU</t>
  </si>
  <si>
    <t xml:space="preserve">https://www.priceline.com.au/</t>
  </si>
  <si>
    <t xml:space="preserve">SuperCheapAuto-AU</t>
  </si>
  <si>
    <t xml:space="preserve">www.supercheapauto.com.au</t>
  </si>
  <si>
    <t xml:space="preserve">Teds Cameras</t>
  </si>
  <si>
    <t xml:space="preserve">https://www.teds.com.au/</t>
  </si>
  <si>
    <t xml:space="preserve">TheGamesmen-AU</t>
  </si>
  <si>
    <t xml:space="preserve">www.gamesmen.com.au</t>
  </si>
  <si>
    <t xml:space="preserve">ToysRUs-AU</t>
  </si>
  <si>
    <t xml:space="preserve">www.toysrus.com.au</t>
  </si>
  <si>
    <t xml:space="preserve">Videopro-AU</t>
  </si>
  <si>
    <t xml:space="preserve">www.videopro.com.au</t>
  </si>
  <si>
    <t xml:space="preserve">Zookal</t>
  </si>
  <si>
    <t xml:space="preserve">www.zookal.com</t>
  </si>
  <si>
    <t xml:space="preserve">SG</t>
  </si>
  <si>
    <t xml:space="preserve">ColdStorage_SING</t>
  </si>
  <si>
    <t xml:space="preserve">https://coldstorage.com.sg/</t>
  </si>
  <si>
    <t xml:space="preserve">Courts_SING</t>
  </si>
  <si>
    <t xml:space="preserve">https://www.courts.com.sg/</t>
  </si>
  <si>
    <t xml:space="preserve">Giant_SING</t>
  </si>
  <si>
    <t xml:space="preserve">https://giant.sg/</t>
  </si>
  <si>
    <t xml:space="preserve">Kinokuniya_SING</t>
  </si>
  <si>
    <t xml:space="preserve">https://singapore.kinokuniya.com</t>
  </si>
  <si>
    <t xml:space="preserve">KohePets_SING</t>
  </si>
  <si>
    <t xml:space="preserve">www.kohepets.com.sg/</t>
  </si>
  <si>
    <t xml:space="preserve">Qisahn_SING</t>
  </si>
  <si>
    <t xml:space="preserve">https://www.qisahn.com/</t>
  </si>
  <si>
    <t xml:space="preserve">Shopitree_SING</t>
  </si>
  <si>
    <t xml:space="preserve">https://www.shopitree.com/</t>
  </si>
  <si>
    <t xml:space="preserve">Image</t>
  </si>
  <si>
    <t xml:space="preserve">URL</t>
  </si>
  <si>
    <t xml:space="preserve">Namshi-AE</t>
  </si>
  <si>
    <t xml:space="preserve">Comp Image</t>
  </si>
  <si>
    <t xml:space="preserve">Count's</t>
  </si>
  <si>
    <t xml:space="preserve">Mumzworld-AE</t>
  </si>
  <si>
    <t xml:space="preserve">SIC's</t>
  </si>
  <si>
    <t xml:space="preserve">Cdon</t>
  </si>
  <si>
    <t xml:space="preserve">IC's</t>
  </si>
  <si>
    <t xml:space="preserve">DR-TR</t>
  </si>
  <si>
    <t xml:space="preserve">Total</t>
  </si>
  <si>
    <t xml:space="preserve">Idefix-TR</t>
  </si>
  <si>
    <t xml:space="preserve">Kitapyurdu-TR</t>
  </si>
  <si>
    <t xml:space="preserve">Migros-TR</t>
  </si>
  <si>
    <t xml:space="preserve">Vatan-TR</t>
  </si>
  <si>
    <t xml:space="preserve">Conrad-NL</t>
  </si>
  <si>
    <t xml:space="preserve">Blokker-NL</t>
  </si>
  <si>
    <t xml:space="preserve">Morele</t>
  </si>
  <si>
    <t xml:space="preserve">X-kom</t>
  </si>
  <si>
    <t xml:space="preserve">Mediamarkt-SE</t>
  </si>
  <si>
    <t xml:space="preserve">Apple-TR</t>
  </si>
  <si>
    <t xml:space="preserve">Webhallen-SE</t>
  </si>
  <si>
    <t xml:space="preserve">Gundogdumobilya-TR</t>
  </si>
  <si>
    <t xml:space="preserve">Indekskitap-TR</t>
  </si>
  <si>
    <t xml:space="preserve">Kitap365-TR</t>
  </si>
  <si>
    <t xml:space="preserve">Vestel-TR</t>
  </si>
  <si>
    <t xml:space="preserve">Ebay-UK-eBuyer</t>
  </si>
  <si>
    <t xml:space="preserve">Ebay-UK-ao</t>
  </si>
  <si>
    <t xml:space="preserve">Hobbycraft</t>
  </si>
  <si>
    <t xml:space="preserve">Hive-UK</t>
  </si>
  <si>
    <t xml:space="preserve">Master of Malt-UK</t>
  </si>
  <si>
    <t xml:space="preserve">Channel</t>
  </si>
  <si>
    <t xml:space="preserve">PL</t>
  </si>
  <si>
    <t xml:space="preserve">GL</t>
  </si>
  <si>
    <t xml:space="preserve">Competitor Name</t>
  </si>
  <si>
    <t xml:space="preserve">CMT  Set-up</t>
  </si>
  <si>
    <t xml:space="preserve">Start date</t>
  </si>
  <si>
    <t xml:space="preserve">End date</t>
  </si>
  <si>
    <t xml:space="preserve">Promo code</t>
  </si>
  <si>
    <t xml:space="preserve">Offer Details</t>
  </si>
  <si>
    <t xml:space="preserve">TT Link</t>
  </si>
  <si>
    <t xml:space="preserve">Can be matched ? </t>
  </si>
  <si>
    <t xml:space="preserve">Sample URLs</t>
  </si>
  <si>
    <t xml:space="preserve">Rebate type</t>
  </si>
  <si>
    <t xml:space="preserve">Comment</t>
  </si>
  <si>
    <t xml:space="preserve">X</t>
  </si>
  <si>
    <t xml:space="preserve">Y</t>
  </si>
  <si>
    <t xml:space="preserve">Z</t>
  </si>
  <si>
    <t xml:space="preserve">Exclusions</t>
  </si>
  <si>
    <t xml:space="preserve">Tesla</t>
  </si>
  <si>
    <t xml:space="preserve">DE</t>
  </si>
  <si>
    <t xml:space="preserve">Hardlines</t>
  </si>
  <si>
    <t xml:space="preserve">Toys</t>
  </si>
  <si>
    <t xml:space="preserve">MyToys</t>
  </si>
  <si>
    <t xml:space="preserve">ST</t>
  </si>
  <si>
    <t xml:space="preserve">https://www.mytoys.de/spielzeug-spiele/playmobil-novelmore/playmobil-sub/</t>
  </si>
  <si>
    <t xml:space="preserve">PLAYNOV20</t>
  </si>
  <si>
    <t xml:space="preserve">20% Extra-Rabatt auf Artikel der Marke PLAYMOBIL® Novelmore für Ihren Einkauf bei myToys </t>
  </si>
  <si>
    <t xml:space="preserve">https://t.corp.amazon.com/P68478343</t>
  </si>
  <si>
    <t xml:space="preserve">Yes</t>
  </si>
  <si>
    <t xml:space="preserve">https://www.mytoys.de/playmobil-playmobil-70220-grosse-burg-von-novelmore-11193373.html</t>
  </si>
  <si>
    <t xml:space="preserve">Coupon</t>
  </si>
  <si>
    <t xml:space="preserve">ASIN LEVEL VIBE matched</t>
  </si>
  <si>
    <t xml:space="preserve">TR</t>
  </si>
  <si>
    <t xml:space="preserve">Home</t>
  </si>
  <si>
    <t xml:space="preserve">Morhipo-TR</t>
  </si>
  <si>
    <t xml:space="preserve">No end date</t>
  </si>
  <si>
    <t xml:space="preserve">https://www.morhipo.com/ozel-kampanya-553?rType=1&amp;rKey=135485</t>
  </si>
  <si>
    <t xml:space="preserve">Sepette %15 İndirim</t>
  </si>
  <si>
    <t xml:space="preserve">https://t.corp.amazon.com/D52256634</t>
  </si>
  <si>
    <t xml:space="preserve">https://www.morhipo.com/eponj-home-ep-014304-cift-k-nevr-tk-/20556650/detay?depid=15092&amp;magaza=3120003295</t>
  </si>
  <si>
    <t xml:space="preserve">Straight NBB</t>
  </si>
  <si>
    <t xml:space="preserve">ST matched</t>
  </si>
  <si>
    <t xml:space="preserve">FR</t>
  </si>
  <si>
    <t xml:space="preserve">Consumables</t>
  </si>
  <si>
    <t xml:space="preserve">Mixed</t>
  </si>
  <si>
    <t xml:space="preserve">CarrefourDrive-FR</t>
  </si>
  <si>
    <t xml:space="preserve">https://www.carrefour.fr/promotions?filters%5Bfacet_promotions%5D%5B0%5D=Remises%20imm%C3%A9diates</t>
  </si>
  <si>
    <t xml:space="preserve">Prenez en 3 = Payez en 2</t>
  </si>
  <si>
    <t xml:space="preserve">No</t>
  </si>
  <si>
    <t xml:space="preserve">https://www.carrefour.fr/p/lessive-liquide-alpine-ariel-8006540447215</t>
  </si>
  <si>
    <t xml:space="preserve">BXGY_BXFY</t>
  </si>
  <si>
    <t xml:space="preserve">Unable to validate promo</t>
  </si>
  <si>
    <t xml:space="preserve">ES</t>
  </si>
  <si>
    <t xml:space="preserve">Worten-ES</t>
  </si>
  <si>
    <t xml:space="preserve">https://www.worten.es/ofertas-promociones/grandes-electrodomesticos/de-aeg</t>
  </si>
  <si>
    <t xml:space="preserve">15% Reembolso</t>
  </si>
  <si>
    <t xml:space="preserve">https://www.worten.es/ofertas-promociones/grandes-electrodomesticos/horno-a-vapor-aeg-steamcrisp-bse576321m-72-l-59-6-cm-inox-6595487</t>
  </si>
  <si>
    <t xml:space="preserve">Bounce back</t>
  </si>
  <si>
    <t xml:space="preserve">Bounce back promotion</t>
  </si>
  <si>
    <t xml:space="preserve">Manual</t>
  </si>
  <si>
    <t xml:space="preserve">All</t>
  </si>
  <si>
    <t xml:space="preserve">JBHi-Fi-AU</t>
  </si>
  <si>
    <t xml:space="preserve">Vibe</t>
  </si>
  <si>
    <t xml:space="preserve">https://www.jbhifi.com.au/pages/clickfrenzy</t>
  </si>
  <si>
    <t xml:space="preserve">92JBFRENZYJUL</t>
  </si>
  <si>
    <t xml:space="preserve">Click Frenzy 10% OFF use this code at checkout 92JBFRENZYJUL</t>
  </si>
  <si>
    <t xml:space="preserve">https://epi-fe.aka.amazon.com/vibe#/view/e7669ce2-69e4-47f4-9fea-dc75c1240a7a</t>
  </si>
  <si>
    <t xml:space="preserve">GL LEVEL VIBE matched</t>
  </si>
  <si>
    <t xml:space="preserve">Stark</t>
  </si>
  <si>
    <t xml:space="preserve">UK</t>
  </si>
  <si>
    <t xml:space="preserve">Grocery</t>
  </si>
  <si>
    <t xml:space="preserve">ASDA</t>
  </si>
  <si>
    <t xml:space="preserve">https://groceries.asda.com/promotion/3-for-3/ls92164</t>
  </si>
  <si>
    <t xml:space="preserve">3 for £3</t>
  </si>
  <si>
    <t xml:space="preserve">https://t.corp.amazon.com/D52286448</t>
  </si>
  <si>
    <t xml:space="preserve">https://groceries.asda.com/product/cat-biscuit-treats/dreamies-mix-cat-treat-biscuits-with-salmon-tuna/910000992431</t>
  </si>
  <si>
    <t xml:space="preserve">BXGY_BXFY$</t>
  </si>
  <si>
    <t xml:space="preserve">Promo details</t>
  </si>
  <si>
    <t xml:space="preserve">Date</t>
  </si>
  <si>
    <t xml:space="preserve">Is it NBB?</t>
  </si>
  <si>
    <t xml:space="preserve">Reasons</t>
  </si>
  <si>
    <t xml:space="preserve">Ticket Link</t>
  </si>
  <si>
    <t xml:space="preserve">https://www.homedepot.com/p/Hampton-Bay-Solar-Bronze-Outdoor-Integrated-LED-3000K-8-Lumens-Warm-White-Landscape-Pathway-Light-4-Pack-NXT-1779/301712053</t>
  </si>
  <si>
    <t xml:space="preserve">Buy 35% OffBuy 610% OffBuy 915% OffBuy 1220% Off</t>
  </si>
  <si>
    <t xml:space="preserve">HomeDepot</t>
  </si>
  <si>
    <t xml:space="preserve">https://www.homedepot.com/p/Hampton-Bay-Thorton-52-in-Indoor-Gunmetal-Ceiling-Fan-with-Light-Kit-and-Remote-Control-YG182-GM/100590859</t>
  </si>
  <si>
    <t xml:space="preserve">Buy 25% OffBuy 310% OffBuy 515% Off</t>
  </si>
  <si>
    <t xml:space="preserve">https://www.chewy.com/squarepet-vfs-ideal-digestion-dry-dog/dp/167348</t>
  </si>
  <si>
    <t xml:space="preserve">Wet Noses Grain-Free Carrot &amp; Sweet Potato Flavor Dog Treats; 14-oz boxBuy Select Dog Food; Get 20% Off Select Dog Treats</t>
  </si>
  <si>
    <t xml:space="preserve">Mrchewy</t>
  </si>
  <si>
    <t xml:space="preserve">https://www.chewy.com/dp/275878</t>
  </si>
  <si>
    <t xml:space="preserve">Zesty Paws Hemp Elements Mobility OraStix Peppermint Flavor Dog Dental Chews; 25 countSpend $40 on Select Items; Get $10 eGift Card</t>
  </si>
  <si>
    <t xml:space="preserve">https://www.target.com/s?searchTerm=women+plus+size+floral+print</t>
  </si>
  <si>
    <t xml:space="preserve">Buy 3 for $18 on Auden plus sized underwear</t>
  </si>
  <si>
    <t xml:space="preserve">Target</t>
  </si>
  <si>
    <t xml:space="preserve">https://t.corp.amazon.com/V647196898</t>
  </si>
  <si>
    <t xml:space="preserve">https://www.target.com/s?searchTerm=nestle+milo+cereal+350gm</t>
  </si>
  <si>
    <t xml:space="preserve">at San Jose NorthBuy 2 for $5.98 with same-day order services</t>
  </si>
  <si>
    <t xml:space="preserve">String not found</t>
  </si>
  <si>
    <t xml:space="preserve">https://www.target.com/s?searchTerm=l%27occitane+exfoliating+moisturizing+ultra+rich+body+scrub+6.9+oz</t>
  </si>
  <si>
    <t xml:space="preserve">at HackensackBuy 2 get a $5 Target GiftCard on SheaMoisture products</t>
  </si>
  <si>
    <t xml:space="preserve">https://www.target.com/s?searchTerm=pet+dematting+brush+undercoat+rake</t>
  </si>
  <si>
    <t xml:space="preserve">See price in cartat ClearwaterBuy 1; get 1 25% off with same-day order services</t>
  </si>
  <si>
    <t xml:space="preserve">https://t.corp.amazon.com/V647241086</t>
  </si>
  <si>
    <t xml:space="preserve">https://www.walmart.com/ip/seort/136707387</t>
  </si>
  <si>
    <t xml:space="preserve">VaterVater Buy 3 5B Wood Drumsticks; Get 1 Free KEG 5BUSD$31.99</t>
  </si>
  <si>
    <t xml:space="preserve">Walmart</t>
  </si>
  <si>
    <t xml:space="preserve">Bundle product</t>
  </si>
  <si>
    <t xml:space="preserve">.</t>
  </si>
  <si>
    <t xml:space="preserve">https://groceries.asda.com/product/cat-snacks-treats-milk/dreamies-mix-ups-with-delicious-cheese-and-tempting-beef/910000560258</t>
  </si>
  <si>
    <t xml:space="preserve">3 for Â£3</t>
  </si>
  <si>
    <t xml:space="preserve">Default</t>
  </si>
  <si>
    <t xml:space="preserve">Names</t>
  </si>
  <si>
    <t xml:space="preserve">Region</t>
  </si>
  <si>
    <t xml:space="preserve">Comments</t>
  </si>
  <si>
    <t xml:space="preserve">Promo End Date</t>
  </si>
  <si>
    <t xml:space="preserve">Matched(Yes/No)</t>
  </si>
  <si>
    <t xml:space="preserve">Vibe end date</t>
  </si>
  <si>
    <t xml:space="preserve">TT</t>
  </si>
  <si>
    <t xml:space="preserve">Shetty, Supreeth</t>
  </si>
  <si>
    <t xml:space="preserve">zooplus(N-TYPE)</t>
  </si>
  <si>
    <t xml:space="preserve">Link</t>
  </si>
  <si>
    <t xml:space="preserve">Check validity. GL level Vibe active</t>
  </si>
  <si>
    <t xml:space="preserve">7/31/2022</t>
  </si>
  <si>
    <t xml:space="preserve">https://epi-eu.aka.amazon.com/vibe</t>
  </si>
  <si>
    <t xml:space="preserve">Roxy-ES</t>
  </si>
  <si>
    <t xml:space="preserve">Victoriaplum-GB</t>
  </si>
  <si>
    <t xml:space="preserve">7/28/2022</t>
  </si>
  <si>
    <t xml:space="preserve">Game-ES</t>
  </si>
  <si>
    <t xml:space="preserve">7/29/2022</t>
  </si>
  <si>
    <t xml:space="preserve">https://epi-fe.aka.amazon.com/vibe</t>
  </si>
  <si>
    <t xml:space="preserve">US</t>
  </si>
  <si>
    <t xml:space="preserve">CVS</t>
  </si>
  <si>
    <t xml:space="preserve">7/30/2022</t>
  </si>
  <si>
    <t xml:space="preserve">https://epi-na.aka.amazon.com/vibe</t>
  </si>
  <si>
    <t xml:space="preserve">JP</t>
  </si>
  <si>
    <t xml:space="preserve">Lohaco</t>
  </si>
  <si>
    <t xml:space="preserve">Final Vibe Launched</t>
  </si>
  <si>
    <t xml:space="preserve">8/25/2022</t>
  </si>
  <si>
    <t xml:space="preserve">https://t.corp.amazon.com/D49296757</t>
  </si>
  <si>
    <t xml:space="preserve">Abbeys-AU(N -Type)</t>
  </si>
  <si>
    <t xml:space="preserve">Final Vibe launched</t>
  </si>
  <si>
    <t xml:space="preserve">7/25/2022</t>
  </si>
  <si>
    <t xml:space="preserve">https://t.corp.amazon.com/D50562204</t>
  </si>
  <si>
    <t xml:space="preserve">Lohaco(N-Type)</t>
  </si>
  <si>
    <t xml:space="preserve">Incremental Vibe launched, pending from mapping Team</t>
  </si>
  <si>
    <t xml:space="preserve">https://t.corp.amazon.com/D49194775</t>
  </si>
  <si>
    <t xml:space="preserve">AE</t>
  </si>
  <si>
    <t xml:space="preserve">Sharafdg-AE</t>
  </si>
  <si>
    <t xml:space="preserve">Initial Vibe Launched , Pending from Mapping team</t>
  </si>
  <si>
    <t xml:space="preserve">https://t.corp.amazon.com/D51731509</t>
  </si>
  <si>
    <t xml:space="preserve">Yahoo-JP-MKPL(N-Type)</t>
  </si>
  <si>
    <t xml:space="preserve">Initial vibe launched, pending from mapping Team</t>
  </si>
  <si>
    <t xml:space="preserve">https://t.corp.amazon.com/D51941711</t>
  </si>
  <si>
    <t xml:space="preserve">GracoBabyUS</t>
  </si>
  <si>
    <t xml:space="preserve">Initial Vibe Launched. Pending from Mapping team.</t>
  </si>
  <si>
    <t xml:space="preserve">https://t.corp.amazon.com/D52027819</t>
  </si>
  <si>
    <t xml:space="preserve">IT</t>
  </si>
  <si>
    <t xml:space="preserve">Easycoop-IT</t>
  </si>
  <si>
    <t xml:space="preserve">Initial vibes launched, pending from mapping Team</t>
  </si>
  <si>
    <t xml:space="preserve">8/15/2022</t>
  </si>
  <si>
    <t xml:space="preserve">https://t.corp.amazon.com/D52028207</t>
  </si>
  <si>
    <t xml:space="preserve">https://t.corp.amazon.com/P68318301</t>
  </si>
  <si>
    <t xml:space="preserve">Monotaro</t>
  </si>
  <si>
    <t xml:space="preserve">Intial vibe launched, pending from mapping team</t>
  </si>
  <si>
    <t xml:space="preserve">7/26/2022</t>
  </si>
  <si>
    <t xml:space="preserve">https://t.corp.amazon.com/D52226729</t>
  </si>
  <si>
    <t xml:space="preserve">Douglas</t>
  </si>
  <si>
    <t xml:space="preserve">https://t.corp.amazon.com/D52226785</t>
  </si>
  <si>
    <t xml:space="preserve">VitaCost</t>
  </si>
  <si>
    <t xml:space="preserve">https://t.corp.amazon.com/D51955971</t>
  </si>
  <si>
    <t xml:space="preserve">No Ifs Found</t>
  </si>
  <si>
    <t xml:space="preserve">8/20/2022</t>
  </si>
  <si>
    <t xml:space="preserve">https://t.corp.amazon.com/D52037879</t>
  </si>
  <si>
    <t xml:space="preserve">https://t.corp.amazon.com/D50848591</t>
  </si>
  <si>
    <t xml:space="preserve">8/31/2022</t>
  </si>
  <si>
    <t xml:space="preserve">https://t.corp.amazon.com/D50859791</t>
  </si>
  <si>
    <t xml:space="preserve">No incremental Ifs</t>
  </si>
  <si>
    <t xml:space="preserve">https://t.corp.amazon.com/D50274288</t>
  </si>
  <si>
    <t xml:space="preserve">No incremental Ifs Found</t>
  </si>
  <si>
    <t xml:space="preserve">https://t.corp.amazon.com/D49397430</t>
  </si>
  <si>
    <t xml:space="preserve">BR</t>
  </si>
  <si>
    <t xml:space="preserve">Submarino-BR (N-Type)</t>
  </si>
  <si>
    <t xml:space="preserve">Pending from mapping Team</t>
  </si>
  <si>
    <t xml:space="preserve">https://t.corp.amazon.com/D48615372</t>
  </si>
  <si>
    <t xml:space="preserve">BicCamera(N Type)</t>
  </si>
  <si>
    <t xml:space="preserve">https://t.corp.amazon.com/D50405856</t>
  </si>
  <si>
    <t xml:space="preserve">RTV-EURO-AGD-PL</t>
  </si>
  <si>
    <t xml:space="preserve">8/17/2022</t>
  </si>
  <si>
    <t xml:space="preserve">https://t.corp.amazon.com/D50800742</t>
  </si>
  <si>
    <t xml:space="preserve">Ebay AU(N-Type)</t>
  </si>
  <si>
    <t xml:space="preserve">https://t.corp.amazon.com/D51396850</t>
  </si>
  <si>
    <t xml:space="preserve">Catch of the Day(N-type)</t>
  </si>
  <si>
    <t xml:space="preserve">https://t.corp.amazon.com/D52089593</t>
  </si>
  <si>
    <t xml:space="preserve">Mondadori-IT</t>
  </si>
  <si>
    <t xml:space="preserve">9/30/2022</t>
  </si>
  <si>
    <t xml:space="preserve">https://t.corp.amazon.com/D49491517</t>
  </si>
  <si>
    <t xml:space="preserve">Macy_s</t>
  </si>
  <si>
    <t xml:space="preserve">https://t.corp.amazon.com/V648732071</t>
  </si>
  <si>
    <t xml:space="preserve">Asin(s)</t>
  </si>
  <si>
    <t xml:space="preserve">Initial</t>
  </si>
  <si>
    <t xml:space="preserve">Incremental1</t>
  </si>
  <si>
    <t xml:space="preserve">Incremental2</t>
  </si>
  <si>
    <t xml:space="preserve">Incremental3</t>
  </si>
  <si>
    <t xml:space="preserve">Incremental4</t>
  </si>
  <si>
    <t xml:space="preserve">Incremental5</t>
  </si>
  <si>
    <t xml:space="preserve">Incremental6</t>
  </si>
  <si>
    <t xml:space="preserve">Incremental7</t>
  </si>
  <si>
    <t xml:space="preserve">Incremental8</t>
  </si>
  <si>
    <t xml:space="preserve">Incremental9</t>
  </si>
  <si>
    <t xml:space="preserve">Final</t>
  </si>
  <si>
    <t xml:space="preserve">canonical_marketplace_id</t>
  </si>
  <si>
    <t xml:space="preserve">cmt_client_id</t>
  </si>
  <si>
    <t xml:space="preserve">cmt_store_qualifier</t>
  </si>
  <si>
    <t xml:space="preserve">gl_product_group_type_v2</t>
  </si>
  <si>
    <t xml:space="preserve">retail_category_v2</t>
  </si>
  <si>
    <t xml:space="preserve">retail_subcategory_v2</t>
  </si>
  <si>
    <t xml:space="preserve">cmt_competitor_name</t>
  </si>
  <si>
    <t xml:space="preserve">cmt_competitor_type</t>
  </si>
  <si>
    <t xml:space="preserve">cmt_zip_region</t>
  </si>
  <si>
    <t xml:space="preserve">cmt_matching_type</t>
  </si>
  <si>
    <t xml:space="preserve">cmt_tenant</t>
  </si>
  <si>
    <t xml:space="preserve">stage_version</t>
  </si>
  <si>
    <t xml:space="preserve">Option</t>
  </si>
  <si>
    <t xml:space="preserve">NEW</t>
  </si>
  <si>
    <t xml:space="preserve">gl_tools</t>
  </si>
  <si>
    <t xml:space="preserve">default</t>
  </si>
  <si>
    <t xml:space="preserve">ONLINE</t>
  </si>
  <si>
    <t xml:space="preserve">Any</t>
  </si>
  <si>
    <t xml:space="preserve">EXACT</t>
  </si>
  <si>
    <t xml:space="preserve">RETAIL</t>
  </si>
  <si>
    <t xml:space="preserve">patch-CMTImportWorkflowUniproJP-1629295978853</t>
  </si>
  <si>
    <r>
      <rPr>
        <sz val="7"/>
        <color rgb="FF004B91"/>
        <rFont val="Open Sans"/>
        <family val="0"/>
        <charset val="1"/>
      </rPr>
      <t xml:space="preserve">Edit</t>
    </r>
    <r>
      <rPr>
        <sz val="7"/>
        <color rgb="FF000000"/>
        <rFont val="Open Sans"/>
        <family val="0"/>
        <charset val="1"/>
      </rPr>
      <t xml:space="preserve"> | </t>
    </r>
    <r>
      <rPr>
        <sz val="7"/>
        <color rgb="FF004B91"/>
        <rFont val="Open Sans"/>
        <family val="0"/>
        <charset val="1"/>
      </rPr>
      <t xml:space="preserve">Delete</t>
    </r>
  </si>
  <si>
    <t xml:space="preserve">gl_personal_care_appliances</t>
  </si>
  <si>
    <t xml:space="preserve">patch-CMTImportWorkflowUniproJP-1613141732219</t>
  </si>
  <si>
    <t xml:space="preserve">gl_lawn_and_garden</t>
  </si>
  <si>
    <t xml:space="preserve">CMTImportWorkflowUniproJP-200</t>
  </si>
  <si>
    <t xml:space="preserve">gl_pet_products</t>
  </si>
  <si>
    <t xml:space="preserve">gl_digital_products_9_accessory</t>
  </si>
  <si>
    <t xml:space="preserve">CMTImportWorkflowUniproJP-66</t>
  </si>
  <si>
    <t xml:space="preserve">gl_music</t>
  </si>
  <si>
    <t xml:space="preserve">CMTImportWorkflowUniproJP</t>
  </si>
  <si>
    <t xml:space="preserve">gl_home</t>
  </si>
  <si>
    <t xml:space="preserve">gl_digital_products_3</t>
  </si>
  <si>
    <t xml:space="preserve">gl_toy</t>
  </si>
  <si>
    <t xml:space="preserve">gl_wireless</t>
  </si>
  <si>
    <t xml:space="preserve">gl_camera</t>
  </si>
  <si>
    <t xml:space="preserve">gl_home_entertainment</t>
  </si>
  <si>
    <t xml:space="preserve">gl_digital_text</t>
  </si>
  <si>
    <t xml:space="preserve">gl_drugstore</t>
  </si>
  <si>
    <t xml:space="preserve">gl_dvd</t>
  </si>
  <si>
    <t xml:space="preserve">gl_beauty</t>
  </si>
  <si>
    <t xml:space="preserve">gl_sports</t>
  </si>
  <si>
    <t xml:space="preserve">gl_watch</t>
  </si>
  <si>
    <t xml:space="preserve">gl_digital_devices_4</t>
  </si>
  <si>
    <t xml:space="preserve">gl_software</t>
  </si>
  <si>
    <t xml:space="preserve">gl_home_improvement</t>
  </si>
  <si>
    <t xml:space="preserve">gl_pc</t>
  </si>
  <si>
    <t xml:space="preserve">gl_office_product</t>
  </si>
  <si>
    <t xml:space="preserve">gl_automotive</t>
  </si>
  <si>
    <t xml:space="preserve">gl_kitchen</t>
  </si>
  <si>
    <t xml:space="preserve">gl_electronics</t>
  </si>
  <si>
    <t xml:space="preserve">gl_video_games</t>
  </si>
  <si>
    <t xml:space="preserve">gl_musical_instruments</t>
  </si>
  <si>
    <t xml:space="preserve">(empty)</t>
  </si>
  <si>
    <t xml:space="preserve">Total Result</t>
  </si>
  <si>
    <t xml:space="preserve">MKPL code</t>
  </si>
  <si>
    <t xml:space="preserve">Domain URL</t>
  </si>
  <si>
    <t xml:space="preserve">NBB</t>
  </si>
  <si>
    <t xml:space="preserve">Tesla/Manual Monitoring</t>
  </si>
  <si>
    <t xml:space="preserve">Samsung-AE</t>
  </si>
  <si>
    <t xml:space="preserve">https://www.samsung.com/ae/</t>
  </si>
  <si>
    <t xml:space="preserve">Add</t>
  </si>
  <si>
    <t xml:space="preserve">Manual Monitoring</t>
  </si>
  <si>
    <t xml:space="preserve">Firstcry-AE</t>
  </si>
  <si>
    <t xml:space="preserve">firstcry.ae</t>
  </si>
  <si>
    <t xml:space="preserve">IC - Manual Monitoring</t>
  </si>
  <si>
    <t xml:space="preserve">SunSand-AE</t>
  </si>
  <si>
    <t xml:space="preserve">en-ae.sssports.com</t>
  </si>
  <si>
    <t xml:space="preserve">Existing</t>
  </si>
  <si>
    <t xml:space="preserve">Noondaily-AE</t>
  </si>
  <si>
    <t xml:space="preserve">https://daily.noon.com/uae-en/</t>
  </si>
  <si>
    <t xml:space="preserve">Virginmegastore-AE</t>
  </si>
  <si>
    <t xml:space="preserve">virginmegastore.ae</t>
  </si>
  <si>
    <t xml:space="preserve">ACE-AE</t>
  </si>
  <si>
    <t xml:space="preserve">aceuae.com</t>
  </si>
  <si>
    <t xml:space="preserve">Tesla Monitoring</t>
  </si>
  <si>
    <t xml:space="preserve">Sephora-AE</t>
  </si>
  <si>
    <t xml:space="preserve">https://www.sephora.ae/en/</t>
  </si>
  <si>
    <t xml:space="preserve">Sporter-AE</t>
  </si>
  <si>
    <t xml:space="preserve">sporter.com</t>
  </si>
  <si>
    <t xml:space="preserve">Kinokuniya-AE</t>
  </si>
  <si>
    <t xml:space="preserve">https://uae.kinokuniya.com/</t>
  </si>
  <si>
    <t xml:space="preserve">DubaiPetfood-AE</t>
  </si>
  <si>
    <t xml:space="preserve">dubaipetfood.com</t>
  </si>
  <si>
    <t xml:space="preserve">Magrudy-AE</t>
  </si>
  <si>
    <t xml:space="preserve">magrudy.com</t>
  </si>
  <si>
    <t xml:space="preserve">Tesla Monitoring from 2/17</t>
  </si>
  <si>
    <t xml:space="preserve">Officerock-AE</t>
  </si>
  <si>
    <t xml:space="preserve">officerock.com</t>
  </si>
  <si>
    <t xml:space="preserve">Activefitnessstore-AE</t>
  </si>
  <si>
    <t xml:space="preserve">activefitnessstore.com</t>
  </si>
  <si>
    <t xml:space="preserve">Jollychic-AE</t>
  </si>
  <si>
    <t xml:space="preserve">jollychic.com</t>
  </si>
  <si>
    <t xml:space="preserve">textbooks.zookal.com.au</t>
  </si>
  <si>
    <t xml:space="preserve">kmart.com.au</t>
  </si>
  <si>
    <t xml:space="preserve">HarveyNorman-AU</t>
  </si>
  <si>
    <t xml:space="preserve">harveynorman.com.au</t>
  </si>
  <si>
    <t xml:space="preserve">kogan.com</t>
  </si>
  <si>
    <t xml:space="preserve">Target-AU</t>
  </si>
  <si>
    <t xml:space="preserve">target.com.au</t>
  </si>
  <si>
    <t xml:space="preserve">Officeworks-AU</t>
  </si>
  <si>
    <t xml:space="preserve">officeworks.com.au</t>
  </si>
  <si>
    <t xml:space="preserve">Myer-AU</t>
  </si>
  <si>
    <t xml:space="preserve">myer.com.au</t>
  </si>
  <si>
    <t xml:space="preserve">Coles-AU</t>
  </si>
  <si>
    <t xml:space="preserve">coles.com.au</t>
  </si>
  <si>
    <t xml:space="preserve">Bunnings-AU</t>
  </si>
  <si>
    <t xml:space="preserve">bunnings.com.au</t>
  </si>
  <si>
    <t xml:space="preserve">Thenile-AU</t>
  </si>
  <si>
    <t xml:space="preserve">thenile.com.au</t>
  </si>
  <si>
    <t xml:space="preserve">TheGoodGuys-AU</t>
  </si>
  <si>
    <t xml:space="preserve">thegoodguys.com.au</t>
  </si>
  <si>
    <t xml:space="preserve">Microsoft-AU</t>
  </si>
  <si>
    <t xml:space="preserve">microsoft.com</t>
  </si>
  <si>
    <t xml:space="preserve">mightyape.com.au</t>
  </si>
  <si>
    <t xml:space="preserve">DavidJones-AU</t>
  </si>
  <si>
    <t xml:space="preserve">davidjones.com</t>
  </si>
  <si>
    <t xml:space="preserve">ChemistWarehouse-AU</t>
  </si>
  <si>
    <t xml:space="preserve">chemistwarehouse.com.au</t>
  </si>
  <si>
    <t xml:space="preserve">mwave.com.au</t>
  </si>
  <si>
    <t xml:space="preserve">Apple-AU</t>
  </si>
  <si>
    <t xml:space="preserve">https://www.apple.com/au/</t>
  </si>
  <si>
    <t xml:space="preserve">Booktopia-AU</t>
  </si>
  <si>
    <t xml:space="preserve">booktopia.com.au</t>
  </si>
  <si>
    <t xml:space="preserve">Fishpond-AU</t>
  </si>
  <si>
    <t xml:space="preserve">fishpond.com.au</t>
  </si>
  <si>
    <t xml:space="preserve">binglee.com.au</t>
  </si>
  <si>
    <t xml:space="preserve">AngusRobertson-AU</t>
  </si>
  <si>
    <t xml:space="preserve">angusrobertson.com.au</t>
  </si>
  <si>
    <t xml:space="preserve">mydeal.com.au</t>
  </si>
  <si>
    <t xml:space="preserve">Umart-AU</t>
  </si>
  <si>
    <t xml:space="preserve">umart.com.au</t>
  </si>
  <si>
    <t xml:space="preserve">Ozgameshop-AU</t>
  </si>
  <si>
    <t xml:space="preserve">ozgameshop.com</t>
  </si>
  <si>
    <t xml:space="preserve">The Iconic</t>
  </si>
  <si>
    <t xml:space="preserve">theiconic.com.au</t>
  </si>
  <si>
    <t xml:space="preserve">Aldi</t>
  </si>
  <si>
    <t xml:space="preserve">aldi.com.au</t>
  </si>
  <si>
    <t xml:space="preserve">Spotlight</t>
  </si>
  <si>
    <t xml:space="preserve">spotlightstores.com</t>
  </si>
  <si>
    <t xml:space="preserve">CrazySales-AU</t>
  </si>
  <si>
    <t xml:space="preserve">www.crazysales.com.au</t>
  </si>
  <si>
    <t xml:space="preserve">appliancesonline.com.au</t>
  </si>
  <si>
    <t xml:space="preserve">TempleandWebster-AU</t>
  </si>
  <si>
    <t xml:space="preserve">templeandwebster.com.au</t>
  </si>
  <si>
    <t xml:space="preserve">Rebel Sport</t>
  </si>
  <si>
    <t xml:space="preserve">rebelsport.com.au</t>
  </si>
  <si>
    <t xml:space="preserve">Sanity-AU</t>
  </si>
  <si>
    <t xml:space="preserve">sanity.com.au</t>
  </si>
  <si>
    <t xml:space="preserve">Samsung Original-AU</t>
  </si>
  <si>
    <t xml:space="preserve">samsung.com</t>
  </si>
  <si>
    <t xml:space="preserve">ASOS</t>
  </si>
  <si>
    <t xml:space="preserve">asos.com</t>
  </si>
  <si>
    <t xml:space="preserve">OzSale-AU</t>
  </si>
  <si>
    <t xml:space="preserve">ozsale.com.au</t>
  </si>
  <si>
    <t xml:space="preserve">Costco-AU</t>
  </si>
  <si>
    <t xml:space="preserve">https://www.costco.com.au/</t>
  </si>
  <si>
    <t xml:space="preserve">priceline.com.au</t>
  </si>
  <si>
    <t xml:space="preserve">Domayne</t>
  </si>
  <si>
    <t xml:space="preserve">domayne.com.au</t>
  </si>
  <si>
    <t xml:space="preserve">PetersofKensington-AU</t>
  </si>
  <si>
    <t xml:space="preserve">petersofkensington.com.au</t>
  </si>
  <si>
    <t xml:space="preserve">DanMurphys-AU</t>
  </si>
  <si>
    <t xml:space="preserve">danmurphys.com.au</t>
  </si>
  <si>
    <t xml:space="preserve">toysrus.com.au</t>
  </si>
  <si>
    <t xml:space="preserve">videopro.com.au</t>
  </si>
  <si>
    <t xml:space="preserve">Dymocks-AU</t>
  </si>
  <si>
    <t xml:space="preserve">dymocks.com.au</t>
  </si>
  <si>
    <t xml:space="preserve">Babybunting-AU</t>
  </si>
  <si>
    <t xml:space="preserve">babybunting.com.au</t>
  </si>
  <si>
    <t xml:space="preserve">OO.com-AU</t>
  </si>
  <si>
    <t xml:space="preserve">oo.com.au</t>
  </si>
  <si>
    <t xml:space="preserve">Hobbywarehouse-AU</t>
  </si>
  <si>
    <t xml:space="preserve">hobbywarehouse.com.au</t>
  </si>
  <si>
    <t xml:space="preserve">supercheapauto.com.au</t>
  </si>
  <si>
    <t xml:space="preserve">EBGames-AU</t>
  </si>
  <si>
    <t xml:space="preserve">ebgames.com.au</t>
  </si>
  <si>
    <t xml:space="preserve">QBD-AU</t>
  </si>
  <si>
    <t xml:space="preserve">qbd.com.au</t>
  </si>
  <si>
    <t xml:space="preserve">Anaconda-AU</t>
  </si>
  <si>
    <t xml:space="preserve">anacondastores.com</t>
  </si>
  <si>
    <t xml:space="preserve">Abbeys-AU</t>
  </si>
  <si>
    <t xml:space="preserve">abbeys.com.au</t>
  </si>
  <si>
    <t xml:space="preserve">Cottonon-AU</t>
  </si>
  <si>
    <t xml:space="preserve">cottonon.com</t>
  </si>
  <si>
    <t xml:space="preserve">KitchenWarehouse-AU</t>
  </si>
  <si>
    <t xml:space="preserve">kitchenwarehouse.com.au</t>
  </si>
  <si>
    <t xml:space="preserve">Readingbooks-AU</t>
  </si>
  <si>
    <t xml:space="preserve">www.readings.com.au</t>
  </si>
  <si>
    <t xml:space="preserve">Mecca-AU</t>
  </si>
  <si>
    <t xml:space="preserve">mecca.com.au</t>
  </si>
  <si>
    <t xml:space="preserve">Adorebeauty-AU</t>
  </si>
  <si>
    <t xml:space="preserve">adorebeauty.com.au</t>
  </si>
  <si>
    <t xml:space="preserve">ShaverShop-AU</t>
  </si>
  <si>
    <t xml:space="preserve">shavershop.com.au</t>
  </si>
  <si>
    <t xml:space="preserve">BCF-AU</t>
  </si>
  <si>
    <t xml:space="preserve">https://www.bcf.com.au/</t>
  </si>
  <si>
    <t xml:space="preserve">Centrecom-AU</t>
  </si>
  <si>
    <t xml:space="preserve">https://www.centrecom.com.au/</t>
  </si>
  <si>
    <t xml:space="preserve">KaiserCraft-AU</t>
  </si>
  <si>
    <t xml:space="preserve">kaisercraft.com.au</t>
  </si>
  <si>
    <t xml:space="preserve">Mitre10-AU</t>
  </si>
  <si>
    <t xml:space="preserve">mitre10.com.au</t>
  </si>
  <si>
    <t xml:space="preserve">PetCircle-AU</t>
  </si>
  <si>
    <t xml:space="preserve">petcircle.com.au</t>
  </si>
  <si>
    <t xml:space="preserve">Sephora-AU</t>
  </si>
  <si>
    <t xml:space="preserve">sephora.com.au</t>
  </si>
  <si>
    <t xml:space="preserve">Sony-AU</t>
  </si>
  <si>
    <t xml:space="preserve">store.sony.com.au</t>
  </si>
  <si>
    <t xml:space="preserve">BCF</t>
  </si>
  <si>
    <t xml:space="preserve">bcf.com.au</t>
  </si>
  <si>
    <t xml:space="preserve">Homehardware-AU</t>
  </si>
  <si>
    <t xml:space="preserve">homehardware.com.au</t>
  </si>
  <si>
    <t xml:space="preserve">Yellowoctopus-AU</t>
  </si>
  <si>
    <t xml:space="preserve">yellowoctopus.com.au</t>
  </si>
  <si>
    <t xml:space="preserve">BONDS-AU</t>
  </si>
  <si>
    <t xml:space="preserve">bonds.com.au</t>
  </si>
  <si>
    <t xml:space="preserve">PaoDeAcucar-BR</t>
  </si>
  <si>
    <t xml:space="preserve">https://www.paodeacucar.com/</t>
  </si>
  <si>
    <t xml:space="preserve">Mercadolivre-BR</t>
  </si>
  <si>
    <t xml:space="preserve">https://www.mercadolivre.com.br/</t>
  </si>
  <si>
    <t xml:space="preserve">LivrariaCultura-BR</t>
  </si>
  <si>
    <t xml:space="preserve">https://www.livrariacultura.com.br/</t>
  </si>
  <si>
    <t xml:space="preserve">Samsung_BR</t>
  </si>
  <si>
    <t xml:space="preserve">https://www.samsung.com/br/</t>
  </si>
  <si>
    <t xml:space="preserve">FastShop-BR</t>
  </si>
  <si>
    <t xml:space="preserve">https://www.fastshop.com.br/web/</t>
  </si>
  <si>
    <t xml:space="preserve">Dafiti-BR</t>
  </si>
  <si>
    <t xml:space="preserve">https://www.dafiti.com.br/</t>
  </si>
  <si>
    <t xml:space="preserve">Casasbahia-BR</t>
  </si>
  <si>
    <t xml:space="preserve">https://www.casasbahia.com.br/</t>
  </si>
  <si>
    <t xml:space="preserve">Shoptime-BR</t>
  </si>
  <si>
    <t xml:space="preserve">https://www.shoptime.com.br/</t>
  </si>
  <si>
    <t xml:space="preserve">Extra-BR</t>
  </si>
  <si>
    <t xml:space="preserve">https://www.extra.com.br/</t>
  </si>
  <si>
    <t xml:space="preserve">PontoFrio-BR</t>
  </si>
  <si>
    <t xml:space="preserve">https://www.pontofrio.com.br/</t>
  </si>
  <si>
    <t xml:space="preserve">Carrefour-BR</t>
  </si>
  <si>
    <t xml:space="preserve">https://www.carrefour.com.br/</t>
  </si>
  <si>
    <t xml:space="preserve">DrogaRaia-BR</t>
  </si>
  <si>
    <t xml:space="preserve">https://www.drogaraia.com.br/</t>
  </si>
  <si>
    <t xml:space="preserve">LivrariasCuritiba-BR</t>
  </si>
  <si>
    <t xml:space="preserve">https://www.livrariascuritiba.com.br/</t>
  </si>
  <si>
    <t xml:space="preserve">Kabum-BR</t>
  </si>
  <si>
    <t xml:space="preserve">https://www.kabum.com.br/</t>
  </si>
  <si>
    <t xml:space="preserve">Netshoes</t>
  </si>
  <si>
    <t xml:space="preserve">https://www.netshoes.com.br/</t>
  </si>
  <si>
    <t xml:space="preserve">Travessa-BR</t>
  </si>
  <si>
    <t xml:space="preserve">https://www.travessa.com.br</t>
  </si>
  <si>
    <t xml:space="preserve">Kalunga-BR</t>
  </si>
  <si>
    <t xml:space="preserve">https://www.kalunga.com.br/</t>
  </si>
  <si>
    <t xml:space="preserve">Shopee-Br</t>
  </si>
  <si>
    <t xml:space="preserve">https://shopee.com.br/</t>
  </si>
  <si>
    <t xml:space="preserve">LeroyMerlin-BR</t>
  </si>
  <si>
    <t xml:space="preserve">https://www.leroymerlin.com.br/</t>
  </si>
  <si>
    <t xml:space="preserve">CA</t>
  </si>
  <si>
    <t xml:space="preserve">Archambault</t>
  </si>
  <si>
    <t xml:space="preserve">archambault.ca</t>
  </si>
  <si>
    <t xml:space="preserve">Chapters</t>
  </si>
  <si>
    <t xml:space="preserve">chapters.indigo.ca</t>
  </si>
  <si>
    <t xml:space="preserve">Staples</t>
  </si>
  <si>
    <t xml:space="preserve">staples.ca</t>
  </si>
  <si>
    <t xml:space="preserve">BedBathandBeyond-CA</t>
  </si>
  <si>
    <t xml:space="preserve">bedbathandbeyond.ca</t>
  </si>
  <si>
    <t xml:space="preserve">Newegg-CA</t>
  </si>
  <si>
    <t xml:space="preserve">newegg.ca</t>
  </si>
  <si>
    <t xml:space="preserve">London Drugs</t>
  </si>
  <si>
    <t xml:space="preserve">londondrugs.com</t>
  </si>
  <si>
    <t xml:space="preserve">realcanadiansuperstore-CA</t>
  </si>
  <si>
    <t xml:space="preserve">realcanadiansuperstore.ca</t>
  </si>
  <si>
    <t xml:space="preserve">Overstock-CA</t>
  </si>
  <si>
    <t xml:space="preserve">overstock.ca</t>
  </si>
  <si>
    <t xml:space="preserve">Tesla Monitoring from 7/24</t>
  </si>
  <si>
    <t xml:space="preserve">Well-CA</t>
  </si>
  <si>
    <t xml:space="preserve">well.ca</t>
  </si>
  <si>
    <t xml:space="preserve">Apple-CA</t>
  </si>
  <si>
    <t xml:space="preserve">apple.com</t>
  </si>
  <si>
    <t xml:space="preserve">Loblaws-ca</t>
  </si>
  <si>
    <t xml:space="preserve">loblaws.ca</t>
  </si>
  <si>
    <t xml:space="preserve">Rona</t>
  </si>
  <si>
    <t xml:space="preserve">rona.ca</t>
  </si>
  <si>
    <t xml:space="preserve">Lowes-CA</t>
  </si>
  <si>
    <t xml:space="preserve">lowes.ca</t>
  </si>
  <si>
    <t xml:space="preserve">TheSource</t>
  </si>
  <si>
    <t xml:space="preserve">thesource.ca</t>
  </si>
  <si>
    <t xml:space="preserve">Visions-CA</t>
  </si>
  <si>
    <t xml:space="preserve">visions.ca</t>
  </si>
  <si>
    <t xml:space="preserve">Gianttiger-CA</t>
  </si>
  <si>
    <t xml:space="preserve">gianttiger.com</t>
  </si>
  <si>
    <t xml:space="preserve">Michaels-CA</t>
  </si>
  <si>
    <t xml:space="preserve">canada.michaels.com</t>
  </si>
  <si>
    <t xml:space="preserve">Samsung-CA</t>
  </si>
  <si>
    <t xml:space="preserve">Toys R Us-CA</t>
  </si>
  <si>
    <t xml:space="preserve">toysrus.ca</t>
  </si>
  <si>
    <t xml:space="preserve">HomeHardware</t>
  </si>
  <si>
    <t xml:space="preserve">homehardware.ca</t>
  </si>
  <si>
    <t xml:space="preserve">Jeancoutu-CA</t>
  </si>
  <si>
    <t xml:space="preserve">jeancoutu.com</t>
  </si>
  <si>
    <t xml:space="preserve">SportChek-CA</t>
  </si>
  <si>
    <t xml:space="preserve">sportchek.ca</t>
  </si>
  <si>
    <t xml:space="preserve">Nordstrom-CA</t>
  </si>
  <si>
    <t xml:space="preserve">nordstrom.ca</t>
  </si>
  <si>
    <t xml:space="preserve">Simons</t>
  </si>
  <si>
    <t xml:space="preserve">simons.ca</t>
  </si>
  <si>
    <t xml:space="preserve">Cabelas-CA</t>
  </si>
  <si>
    <t xml:space="preserve">cabelas.ca</t>
  </si>
  <si>
    <t xml:space="preserve">Bell-CA</t>
  </si>
  <si>
    <t xml:space="preserve">bell.ca</t>
  </si>
  <si>
    <t xml:space="preserve">Metro-CA</t>
  </si>
  <si>
    <t xml:space="preserve">metro.ca</t>
  </si>
  <si>
    <t xml:space="preserve">TheBrick-CA</t>
  </si>
  <si>
    <t xml:space="preserve">thebrick.com</t>
  </si>
  <si>
    <t xml:space="preserve">Princessauto-CA</t>
  </si>
  <si>
    <t xml:space="preserve">princessauto.com</t>
  </si>
  <si>
    <t xml:space="preserve">RenoDepot-CA</t>
  </si>
  <si>
    <t xml:space="preserve">renodepot.com</t>
  </si>
  <si>
    <t xml:space="preserve">NoFrills-CA</t>
  </si>
  <si>
    <t xml:space="preserve">nofrills.ca</t>
  </si>
  <si>
    <t xml:space="preserve">BabiesRUs-CA</t>
  </si>
  <si>
    <t xml:space="preserve">babiesrus.ca</t>
  </si>
  <si>
    <t xml:space="preserve">Healthplanetcanada</t>
  </si>
  <si>
    <t xml:space="preserve">healthyplanetcanada.com</t>
  </si>
  <si>
    <t xml:space="preserve">Sephora-CA</t>
  </si>
  <si>
    <t xml:space="preserve">sephora.com</t>
  </si>
  <si>
    <t xml:space="preserve">Leons-CA</t>
  </si>
  <si>
    <t xml:space="preserve">leons.ca</t>
  </si>
  <si>
    <t xml:space="preserve">Grainger-CA</t>
  </si>
  <si>
    <t xml:space="preserve">grainger.ca/en</t>
  </si>
  <si>
    <t xml:space="preserve">LinenChest-CA</t>
  </si>
  <si>
    <t xml:space="preserve">linenchest.com</t>
  </si>
  <si>
    <t xml:space="preserve">MEC-CA</t>
  </si>
  <si>
    <t xml:space="preserve">mec.ca</t>
  </si>
  <si>
    <t xml:space="preserve">RenaudBray</t>
  </si>
  <si>
    <t xml:space="preserve">renaud-bray.com</t>
  </si>
  <si>
    <t xml:space="preserve">Wholesaleclub-CA</t>
  </si>
  <si>
    <t xml:space="preserve">wholesaleclub.ca</t>
  </si>
  <si>
    <t xml:space="preserve">Marks-CA</t>
  </si>
  <si>
    <t xml:space="preserve">marks.com</t>
  </si>
  <si>
    <t xml:space="preserve">Kitchenstuffplus-CA</t>
  </si>
  <si>
    <t xml:space="preserve">kitchenstuffplus.com</t>
  </si>
  <si>
    <t xml:space="preserve">GameStop-CA</t>
  </si>
  <si>
    <t xml:space="preserve">ebgames.ca</t>
  </si>
  <si>
    <t xml:space="preserve">JYSK</t>
  </si>
  <si>
    <t xml:space="preserve">jysk.ca</t>
  </si>
  <si>
    <t xml:space="preserve">Sail-CA</t>
  </si>
  <si>
    <t xml:space="preserve">sail.ca</t>
  </si>
  <si>
    <t xml:space="preserve">Adidas-CA</t>
  </si>
  <si>
    <t xml:space="preserve">adidas.ca</t>
  </si>
  <si>
    <t xml:space="preserve">Dell-CA</t>
  </si>
  <si>
    <t xml:space="preserve">dell.com</t>
  </si>
  <si>
    <t xml:space="preserve">Nike-CA</t>
  </si>
  <si>
    <t xml:space="preserve">https://www.nike.com/ca</t>
  </si>
  <si>
    <t xml:space="preserve">Holtrenfrew-CA</t>
  </si>
  <si>
    <t xml:space="preserve">holtrenfrew.com</t>
  </si>
  <si>
    <t xml:space="preserve">Altitude-Sports-CA</t>
  </si>
  <si>
    <t xml:space="preserve">altitude-sports.com</t>
  </si>
  <si>
    <t xml:space="preserve">EBGames-CA</t>
  </si>
  <si>
    <t xml:space="preserve">UnderArmour-CA</t>
  </si>
  <si>
    <t xml:space="preserve">underarmour.ca</t>
  </si>
  <si>
    <t xml:space="preserve">AldoShoes-CA</t>
  </si>
  <si>
    <t xml:space="preserve">aldoshoes.com</t>
  </si>
  <si>
    <t xml:space="preserve">Sportinglife-CA</t>
  </si>
  <si>
    <t xml:space="preserve">sportinglife.ca</t>
  </si>
  <si>
    <t xml:space="preserve">Columbia-CA</t>
  </si>
  <si>
    <t xml:space="preserve">columbiasportswear.ca</t>
  </si>
  <si>
    <t xml:space="preserve">Ssense-CA</t>
  </si>
  <si>
    <t xml:space="preserve">ssense.com</t>
  </si>
  <si>
    <t xml:space="preserve">HP Canada</t>
  </si>
  <si>
    <t xml:space="preserve">hp.com</t>
  </si>
  <si>
    <t xml:space="preserve">UniversityofToronto</t>
  </si>
  <si>
    <t xml:space="preserve">uoftbookstore.com</t>
  </si>
  <si>
    <t xml:space="preserve">vitasave.ca</t>
  </si>
  <si>
    <t xml:space="preserve">Telekom-DE</t>
  </si>
  <si>
    <t xml:space="preserve">https://www.telekom.de/</t>
  </si>
  <si>
    <t xml:space="preserve">XXX Lutz</t>
  </si>
  <si>
    <t xml:space="preserve">https://www.xxxlutz.de/</t>
  </si>
  <si>
    <t xml:space="preserve">Smyths-DE</t>
  </si>
  <si>
    <t xml:space="preserve">www.smythstoys.com/de/de-de/</t>
  </si>
  <si>
    <t xml:space="preserve">Home24</t>
  </si>
  <si>
    <t xml:space="preserve">www.home24.de</t>
  </si>
  <si>
    <t xml:space="preserve">Spartoo-DE</t>
  </si>
  <si>
    <t xml:space="preserve">www.spartoo.de</t>
  </si>
  <si>
    <t xml:space="preserve">SportsCheck</t>
  </si>
  <si>
    <t xml:space="preserve">www.sportscheck.de</t>
  </si>
  <si>
    <t xml:space="preserve">Flaconi.de</t>
  </si>
  <si>
    <t xml:space="preserve">https://www.flaconi.de/</t>
  </si>
  <si>
    <t xml:space="preserve">Mirapodo</t>
  </si>
  <si>
    <t xml:space="preserve">www.mirapodo.de</t>
  </si>
  <si>
    <t xml:space="preserve">Gamestop-DE</t>
  </si>
  <si>
    <t xml:space="preserve">www.gamestop.de</t>
  </si>
  <si>
    <t xml:space="preserve">DocMorris</t>
  </si>
  <si>
    <t xml:space="preserve">https://www.docmorris.de/</t>
  </si>
  <si>
    <t xml:space="preserve">Thomann-DE</t>
  </si>
  <si>
    <t xml:space="preserve">www.thomann.de/de</t>
  </si>
  <si>
    <t xml:space="preserve">Fressnapf</t>
  </si>
  <si>
    <t xml:space="preserve">https://www.fressnapf.de/</t>
  </si>
  <si>
    <t xml:space="preserve">Notino-DE</t>
  </si>
  <si>
    <t xml:space="preserve">https://www.notino.de/</t>
  </si>
  <si>
    <t xml:space="preserve">Eis-DE</t>
  </si>
  <si>
    <t xml:space="preserve">https://www.eis.de/</t>
  </si>
  <si>
    <t xml:space="preserve">Babyartikel</t>
  </si>
  <si>
    <t xml:space="preserve">https://www.babyartikel.de/</t>
  </si>
  <si>
    <t xml:space="preserve">Kfzteile24-DE</t>
  </si>
  <si>
    <t xml:space="preserve">https://www.kfzteile24.de/</t>
  </si>
  <si>
    <t xml:space="preserve">Hagelshop</t>
  </si>
  <si>
    <t xml:space="preserve">https://www.hagel-shop.de/</t>
  </si>
  <si>
    <t xml:space="preserve">Zooroyal</t>
  </si>
  <si>
    <t xml:space="preserve">https://www.zooroyal.de/</t>
  </si>
  <si>
    <t xml:space="preserve">Christ</t>
  </si>
  <si>
    <t xml:space="preserve">www.christ.de</t>
  </si>
  <si>
    <t xml:space="preserve">WorldofSweets-DE</t>
  </si>
  <si>
    <t xml:space="preserve">https://www.worldofsweets.de/</t>
  </si>
  <si>
    <t xml:space="preserve">ReifenDirekt-DE</t>
  </si>
  <si>
    <t xml:space="preserve">www.reifendirekt.de</t>
  </si>
  <si>
    <t xml:space="preserve">BabyOne-DE</t>
  </si>
  <si>
    <t xml:space="preserve">https://www.babyone.de/</t>
  </si>
  <si>
    <t xml:space="preserve">Fitmart-DE</t>
  </si>
  <si>
    <t xml:space="preserve">https://www.fitmart.de/</t>
  </si>
  <si>
    <t xml:space="preserve">TiierishMPP</t>
  </si>
  <si>
    <t xml:space="preserve">https://www.tiierisch.de/</t>
  </si>
  <si>
    <t xml:space="preserve">MusicStore</t>
  </si>
  <si>
    <t xml:space="preserve">www.musicstore.de</t>
  </si>
  <si>
    <t xml:space="preserve">PandoraStore</t>
  </si>
  <si>
    <t xml:space="preserve">https://de.pandora.net/de/</t>
  </si>
  <si>
    <t xml:space="preserve">Valmano</t>
  </si>
  <si>
    <t xml:space="preserve">www.valmano.de</t>
  </si>
  <si>
    <t xml:space="preserve">Rumundco-DE</t>
  </si>
  <si>
    <t xml:space="preserve">www.rumundco.de</t>
  </si>
  <si>
    <t xml:space="preserve">Whisky-DE</t>
  </si>
  <si>
    <t xml:space="preserve">https://www.whisky.de/whisky/whisky.html</t>
  </si>
  <si>
    <t xml:space="preserve">Musikhaus-kirstein-DE</t>
  </si>
  <si>
    <t xml:space="preserve">www.kirstein.de</t>
  </si>
  <si>
    <t xml:space="preserve">Musikhaus-korn-DE</t>
  </si>
  <si>
    <t xml:space="preserve">www.musikhaus-korn.de</t>
  </si>
  <si>
    <t xml:space="preserve">Session-DE</t>
  </si>
  <si>
    <t xml:space="preserve">www.session.de</t>
  </si>
  <si>
    <t xml:space="preserve">Watchshop-DE</t>
  </si>
  <si>
    <t xml:space="preserve">de.watchshop.com</t>
  </si>
  <si>
    <t xml:space="preserve">Belvini-DE</t>
  </si>
  <si>
    <t xml:space="preserve">https://www.belvini.de/</t>
  </si>
  <si>
    <t xml:space="preserve">Ebay-DE</t>
  </si>
  <si>
    <t xml:space="preserve">https://www.ebay.de/</t>
  </si>
  <si>
    <t xml:space="preserve">SIC - Manual Monitoring</t>
  </si>
  <si>
    <t xml:space="preserve">Coolblue-DE</t>
  </si>
  <si>
    <t xml:space="preserve">www.coolblue.de</t>
  </si>
  <si>
    <t xml:space="preserve">Netto-DE</t>
  </si>
  <si>
    <t xml:space="preserve">https://www.netto-online.de/</t>
  </si>
  <si>
    <t xml:space="preserve">Ikea-DE</t>
  </si>
  <si>
    <t xml:space="preserve">www.ikea.com/de/de/</t>
  </si>
  <si>
    <t xml:space="preserve">Bueromarkt-DE</t>
  </si>
  <si>
    <t xml:space="preserve">https://www.bueromarkt-ag.de/</t>
  </si>
  <si>
    <t xml:space="preserve">Microsoft-DE</t>
  </si>
  <si>
    <t xml:space="preserve">https://www.microsoft.com/de-de/</t>
  </si>
  <si>
    <t xml:space="preserve">HageBau</t>
  </si>
  <si>
    <t xml:space="preserve">https://www.hagebau.de/</t>
  </si>
  <si>
    <t xml:space="preserve">Limango-DE</t>
  </si>
  <si>
    <t xml:space="preserve">https://www.limango.de/shop</t>
  </si>
  <si>
    <t xml:space="preserve">Philips-DE</t>
  </si>
  <si>
    <t xml:space="preserve">https://www.philips.de/shop/</t>
  </si>
  <si>
    <t xml:space="preserve">Roller-DE</t>
  </si>
  <si>
    <t xml:space="preserve">www.roller.de</t>
  </si>
  <si>
    <t xml:space="preserve">Dehner-DE</t>
  </si>
  <si>
    <t xml:space="preserve">https://www.dehner.de/</t>
  </si>
  <si>
    <t xml:space="preserve">Aldi_Sued-DE</t>
  </si>
  <si>
    <t xml:space="preserve">www.aldi-sued.de/de/homepage.html</t>
  </si>
  <si>
    <t xml:space="preserve">Windeln</t>
  </si>
  <si>
    <t xml:space="preserve">https://www.windeln.de/</t>
  </si>
  <si>
    <t xml:space="preserve">Galaxus-DE</t>
  </si>
  <si>
    <t xml:space="preserve">https://www.galaxus.de/</t>
  </si>
  <si>
    <t xml:space="preserve">Alternate</t>
  </si>
  <si>
    <t xml:space="preserve">https://www.alternate.de/</t>
  </si>
  <si>
    <t xml:space="preserve">Notebooksbilliger</t>
  </si>
  <si>
    <t xml:space="preserve">www.notebooksbilliger.de</t>
  </si>
  <si>
    <t xml:space="preserve">Expert-DE</t>
  </si>
  <si>
    <t xml:space="preserve">www.expert.de</t>
  </si>
  <si>
    <t xml:space="preserve">Baur</t>
  </si>
  <si>
    <t xml:space="preserve">https://www.baur.de/</t>
  </si>
  <si>
    <t xml:space="preserve">Mueller-DE</t>
  </si>
  <si>
    <t xml:space="preserve">https://www.mueller.de/</t>
  </si>
  <si>
    <t xml:space="preserve">Samsung-DE</t>
  </si>
  <si>
    <t xml:space="preserve">shop.samsung.com/de</t>
  </si>
  <si>
    <t xml:space="preserve">Weltbild</t>
  </si>
  <si>
    <t xml:space="preserve">https://www.weltbild.de/</t>
  </si>
  <si>
    <t xml:space="preserve">Bauhaus-DE</t>
  </si>
  <si>
    <t xml:space="preserve">https://www.bauhaus.info/</t>
  </si>
  <si>
    <t xml:space="preserve">Cyberport</t>
  </si>
  <si>
    <t xml:space="preserve">https://www.cyberport.de/</t>
  </si>
  <si>
    <t xml:space="preserve">Buecher.de</t>
  </si>
  <si>
    <t xml:space="preserve">https://www.buecher.de/</t>
  </si>
  <si>
    <t xml:space="preserve">Aboutyou-DE</t>
  </si>
  <si>
    <t xml:space="preserve">www.aboutyou.de</t>
  </si>
  <si>
    <t xml:space="preserve">GlobusBaumarkt-DE</t>
  </si>
  <si>
    <t xml:space="preserve">www.globus-baumarkt.de</t>
  </si>
  <si>
    <t xml:space="preserve">Apple-DE</t>
  </si>
  <si>
    <t xml:space="preserve">www.apple.com/de/</t>
  </si>
  <si>
    <t xml:space="preserve">Baby-Markt</t>
  </si>
  <si>
    <t xml:space="preserve">https://www.babymarkt.de/</t>
  </si>
  <si>
    <t xml:space="preserve">Asos-DE</t>
  </si>
  <si>
    <t xml:space="preserve">https://www.asos.de/</t>
  </si>
  <si>
    <t xml:space="preserve">Toom-DE</t>
  </si>
  <si>
    <t xml:space="preserve">toom.de</t>
  </si>
  <si>
    <t xml:space="preserve">Decathlon-DE</t>
  </si>
  <si>
    <t xml:space="preserve">www.decathlon.de</t>
  </si>
  <si>
    <t xml:space="preserve">jpc</t>
  </si>
  <si>
    <t xml:space="preserve">www.jpc.de</t>
  </si>
  <si>
    <t xml:space="preserve">Hoeffner-DE</t>
  </si>
  <si>
    <t xml:space="preserve">https://www.hoeffner.de/</t>
  </si>
  <si>
    <t xml:space="preserve">Shop-apotheke</t>
  </si>
  <si>
    <t xml:space="preserve">https://www.shop-apotheke.com/</t>
  </si>
  <si>
    <t xml:space="preserve">Contorion-DE</t>
  </si>
  <si>
    <t xml:space="preserve">www.contorion.de</t>
  </si>
  <si>
    <t xml:space="preserve">Bikediscount</t>
  </si>
  <si>
    <t xml:space="preserve">www.bike-discount.de</t>
  </si>
  <si>
    <t xml:space="preserve">Hugendubel</t>
  </si>
  <si>
    <t xml:space="preserve">www.hugendubel.de</t>
  </si>
  <si>
    <t xml:space="preserve">Appliancesonline-DE</t>
  </si>
  <si>
    <t xml:space="preserve">www.ao.de</t>
  </si>
  <si>
    <t xml:space="preserve">EG</t>
  </si>
  <si>
    <t xml:space="preserve">Huawei-EG</t>
  </si>
  <si>
    <t xml:space="preserve">https://consumer.huawei.com/eg-en</t>
  </si>
  <si>
    <t xml:space="preserve">dream2000-EG</t>
  </si>
  <si>
    <t xml:space="preserve">https://dream2000.com</t>
  </si>
  <si>
    <t xml:space="preserve">2b-EG</t>
  </si>
  <si>
    <t xml:space="preserve">https://2b.com.eg/en</t>
  </si>
  <si>
    <t xml:space="preserve">Btech-EG</t>
  </si>
  <si>
    <t xml:space="preserve">https://btech.com/en/</t>
  </si>
  <si>
    <t xml:space="preserve">Cairosales-EG</t>
  </si>
  <si>
    <t xml:space="preserve">https://cairosales.com/en/#</t>
  </si>
  <si>
    <t xml:space="preserve">Microsoftstore-ES</t>
  </si>
  <si>
    <t xml:space="preserve">Leroymerlin-ES</t>
  </si>
  <si>
    <t xml:space="preserve">leroymerlin.es</t>
  </si>
  <si>
    <t xml:space="preserve">AKI-ES</t>
  </si>
  <si>
    <t xml:space="preserve">IKEA-ES</t>
  </si>
  <si>
    <t xml:space="preserve">ikea.com</t>
  </si>
  <si>
    <t xml:space="preserve">Casadellibro-ES</t>
  </si>
  <si>
    <t xml:space="preserve">casadellibro.com</t>
  </si>
  <si>
    <t xml:space="preserve">Hipercor-ES</t>
  </si>
  <si>
    <t xml:space="preserve">hipercor.es</t>
  </si>
  <si>
    <t xml:space="preserve">Alcampo_ES</t>
  </si>
  <si>
    <t xml:space="preserve">alcampo.es</t>
  </si>
  <si>
    <t xml:space="preserve">Lidl-ES</t>
  </si>
  <si>
    <t xml:space="preserve">lidl.es</t>
  </si>
  <si>
    <t xml:space="preserve">Samsung-ES</t>
  </si>
  <si>
    <t xml:space="preserve">Apple-ES</t>
  </si>
  <si>
    <t xml:space="preserve">ZaraHome-ES</t>
  </si>
  <si>
    <t xml:space="preserve">zarahome.com</t>
  </si>
  <si>
    <t xml:space="preserve">Mi-ES</t>
  </si>
  <si>
    <t xml:space="preserve">mi.com</t>
  </si>
  <si>
    <t xml:space="preserve">Ebay-ES-Watchshop</t>
  </si>
  <si>
    <t xml:space="preserve">www.ebay.es/usr/watchshop</t>
  </si>
  <si>
    <t xml:space="preserve">Bauhaus-ES</t>
  </si>
  <si>
    <t xml:space="preserve">bauhaus.es</t>
  </si>
  <si>
    <t xml:space="preserve">Asos-ES</t>
  </si>
  <si>
    <t xml:space="preserve">Planetahuerto-ES</t>
  </si>
  <si>
    <t xml:space="preserve">planetahuerto.es</t>
  </si>
  <si>
    <t xml:space="preserve">Spartoo-ES</t>
  </si>
  <si>
    <t xml:space="preserve">spartoo.es</t>
  </si>
  <si>
    <t xml:space="preserve">Conforama-ES</t>
  </si>
  <si>
    <t xml:space="preserve">conforama.es</t>
  </si>
  <si>
    <t xml:space="preserve">game.es</t>
  </si>
  <si>
    <t xml:space="preserve">LaRedoute-ES</t>
  </si>
  <si>
    <t xml:space="preserve">laredoute.es</t>
  </si>
  <si>
    <t xml:space="preserve">Cecotec-ES</t>
  </si>
  <si>
    <t xml:space="preserve">storececotec.com</t>
  </si>
  <si>
    <t xml:space="preserve">Deporvillage.es</t>
  </si>
  <si>
    <t xml:space="preserve">deporvillage.com</t>
  </si>
  <si>
    <t xml:space="preserve">Dressinn-ES</t>
  </si>
  <si>
    <t xml:space="preserve">dressinn.com</t>
  </si>
  <si>
    <t xml:space="preserve">Bricomart-ES</t>
  </si>
  <si>
    <t xml:space="preserve">bricomart.es</t>
  </si>
  <si>
    <t xml:space="preserve">Nike-ES</t>
  </si>
  <si>
    <t xml:space="preserve">nike.com</t>
  </si>
  <si>
    <t xml:space="preserve">Primor-ES</t>
  </si>
  <si>
    <t xml:space="preserve">primor.eu</t>
  </si>
  <si>
    <t xml:space="preserve">Toysrus-ES</t>
  </si>
  <si>
    <t xml:space="preserve">toysrus.es</t>
  </si>
  <si>
    <t xml:space="preserve">Adidas-ES</t>
  </si>
  <si>
    <t xml:space="preserve">adidas.es</t>
  </si>
  <si>
    <t xml:space="preserve">Dosfarma-ES</t>
  </si>
  <si>
    <t xml:space="preserve">dosfarma.com</t>
  </si>
  <si>
    <t xml:space="preserve">Kiabi-ES</t>
  </si>
  <si>
    <t xml:space="preserve">www.kiabi.es</t>
  </si>
  <si>
    <t xml:space="preserve">C&amp;A-ES</t>
  </si>
  <si>
    <t xml:space="preserve">www.c-and-a.com/es/es/shop</t>
  </si>
  <si>
    <t xml:space="preserve">Juguetilandia</t>
  </si>
  <si>
    <t xml:space="preserve">juguetilandia.com</t>
  </si>
  <si>
    <t xml:space="preserve">JDsports-ES</t>
  </si>
  <si>
    <t xml:space="preserve">jdsports.es</t>
  </si>
  <si>
    <t xml:space="preserve">Druni-ES</t>
  </si>
  <si>
    <t xml:space="preserve">druni.es</t>
  </si>
  <si>
    <t xml:space="preserve">Bricomaster Aki Brico Depôt</t>
  </si>
  <si>
    <t xml:space="preserve">https://www.bricodepot.es/brico-go</t>
  </si>
  <si>
    <t xml:space="preserve">Cortefiel-ES</t>
  </si>
  <si>
    <t xml:space="preserve">cortefiel.com</t>
  </si>
  <si>
    <t xml:space="preserve">MiFarma-ES</t>
  </si>
  <si>
    <t xml:space="preserve">mifarma.es</t>
  </si>
  <si>
    <t xml:space="preserve">Aboutyou-ES</t>
  </si>
  <si>
    <t xml:space="preserve">https://www.aboutyou.es/</t>
  </si>
  <si>
    <t xml:space="preserve">Douglas-ES</t>
  </si>
  <si>
    <t xml:space="preserve">douglas.es</t>
  </si>
  <si>
    <t xml:space="preserve">HUAWEI-ES</t>
  </si>
  <si>
    <t xml:space="preserve">consumer.huawei.com</t>
  </si>
  <si>
    <t xml:space="preserve">Bricodepot-ES</t>
  </si>
  <si>
    <t xml:space="preserve">bricodepot.es</t>
  </si>
  <si>
    <t xml:space="preserve">ShopDisney-ES</t>
  </si>
  <si>
    <t xml:space="preserve">shopdisney.es</t>
  </si>
  <si>
    <t xml:space="preserve">Forum-ES</t>
  </si>
  <si>
    <t xml:space="preserve">forumsport.com</t>
  </si>
  <si>
    <t xml:space="preserve">MySpringField-ES</t>
  </si>
  <si>
    <t xml:space="preserve">myspringfield.com</t>
  </si>
  <si>
    <t xml:space="preserve">WomenSecret_ES</t>
  </si>
  <si>
    <t xml:space="preserve">https://womensecret.com/es/es</t>
  </si>
  <si>
    <t xml:space="preserve">Dia-ES</t>
  </si>
  <si>
    <t xml:space="preserve">dia.es</t>
  </si>
  <si>
    <t xml:space="preserve">Zapatos-ES</t>
  </si>
  <si>
    <t xml:space="preserve">zapatos.es</t>
  </si>
  <si>
    <t xml:space="preserve">Westwing-ES</t>
  </si>
  <si>
    <t xml:space="preserve">westwing.es</t>
  </si>
  <si>
    <t xml:space="preserve">Carethy-ES</t>
  </si>
  <si>
    <t xml:space="preserve">carethy.es</t>
  </si>
  <si>
    <t xml:space="preserve">HP-ES</t>
  </si>
  <si>
    <t xml:space="preserve">store.hp.com</t>
  </si>
  <si>
    <t xml:space="preserve">Nutritienda-ES</t>
  </si>
  <si>
    <t xml:space="preserve">nutritienda.com</t>
  </si>
  <si>
    <t xml:space="preserve">Car Phone Warehouse-ES</t>
  </si>
  <si>
    <t xml:space="preserve">phonehouse.es</t>
  </si>
  <si>
    <t xml:space="preserve">Reebok-ES</t>
  </si>
  <si>
    <t xml:space="preserve">reebok.es</t>
  </si>
  <si>
    <t xml:space="preserve">Sprinter-ES</t>
  </si>
  <si>
    <t xml:space="preserve">sprintersports.com</t>
  </si>
  <si>
    <t xml:space="preserve">Notino-ES</t>
  </si>
  <si>
    <t xml:space="preserve">notino.es</t>
  </si>
  <si>
    <t xml:space="preserve">Vans-ES</t>
  </si>
  <si>
    <t xml:space="preserve">vans.es</t>
  </si>
  <si>
    <t xml:space="preserve">Venteunique-ES</t>
  </si>
  <si>
    <t xml:space="preserve">https://www.vente-unique.com/</t>
  </si>
  <si>
    <t xml:space="preserve">Asics-ES</t>
  </si>
  <si>
    <t xml:space="preserve">asics.com</t>
  </si>
  <si>
    <t xml:space="preserve">Puma-ES</t>
  </si>
  <si>
    <t xml:space="preserve">eu.puma.com</t>
  </si>
  <si>
    <t xml:space="preserve">Juguettos-ES</t>
  </si>
  <si>
    <t xml:space="preserve">juguettos.com</t>
  </si>
  <si>
    <t xml:space="preserve">Lacoste-ES</t>
  </si>
  <si>
    <t xml:space="preserve">lacoste.com</t>
  </si>
  <si>
    <t xml:space="preserve">Babiesrus-ES</t>
  </si>
  <si>
    <t xml:space="preserve">trekkinn-ES</t>
  </si>
  <si>
    <t xml:space="preserve">trekkinn.com</t>
  </si>
  <si>
    <t xml:space="preserve">Hipercor-ES-Supermercado</t>
  </si>
  <si>
    <t xml:space="preserve">Desigual-ES</t>
  </si>
  <si>
    <t xml:space="preserve">desigual.com</t>
  </si>
  <si>
    <t xml:space="preserve">Intex-ES</t>
  </si>
  <si>
    <t xml:space="preserve">intex.es</t>
  </si>
  <si>
    <t xml:space="preserve">Mielectro-ES</t>
  </si>
  <si>
    <t xml:space="preserve">https://www.mielectro.es/</t>
  </si>
  <si>
    <t xml:space="preserve">PedrodelHierro-ES</t>
  </si>
  <si>
    <t xml:space="preserve">pedrodelhierro.com</t>
  </si>
  <si>
    <t xml:space="preserve">Mercadona-Madrid-ES</t>
  </si>
  <si>
    <t xml:space="preserve">tienda.mercadona.es</t>
  </si>
  <si>
    <t xml:space="preserve">Salomon-ES</t>
  </si>
  <si>
    <t xml:space="preserve">salomon.com</t>
  </si>
  <si>
    <t xml:space="preserve">Norauto-ES</t>
  </si>
  <si>
    <t xml:space="preserve">norauto.es</t>
  </si>
  <si>
    <t xml:space="preserve">SoySuper-ES</t>
  </si>
  <si>
    <t xml:space="preserve">soysuper.com</t>
  </si>
  <si>
    <t xml:space="preserve">Esdemarca-ES</t>
  </si>
  <si>
    <t xml:space="preserve">esdemarca.com</t>
  </si>
  <si>
    <t xml:space="preserve">Philips-ES</t>
  </si>
  <si>
    <t xml:space="preserve">philips.es</t>
  </si>
  <si>
    <t xml:space="preserve">roxy.es</t>
  </si>
  <si>
    <t xml:space="preserve">Diesel-ES</t>
  </si>
  <si>
    <t xml:space="preserve">es.diesel.com</t>
  </si>
  <si>
    <t xml:space="preserve">MichaelKors-ES</t>
  </si>
  <si>
    <t xml:space="preserve">michaelkors.es</t>
  </si>
  <si>
    <t xml:space="preserve">Havainas-ES</t>
  </si>
  <si>
    <t xml:space="preserve">havaianas-store.com</t>
  </si>
  <si>
    <t xml:space="preserve">Gucci-ES</t>
  </si>
  <si>
    <t xml:space="preserve">gucci.com</t>
  </si>
  <si>
    <t xml:space="preserve">Debonix-Cdiscount-FR</t>
  </si>
  <si>
    <t xml:space="preserve">cdiscount.com</t>
  </si>
  <si>
    <t xml:space="preserve">Rue du Commerce</t>
  </si>
  <si>
    <t xml:space="preserve">rueducommerce.fr</t>
  </si>
  <si>
    <t xml:space="preserve">Cultura</t>
  </si>
  <si>
    <t xml:space="preserve">cultura.com</t>
  </si>
  <si>
    <t xml:space="preserve">Ebay-FR-Watchshop</t>
  </si>
  <si>
    <t xml:space="preserve">www.ebay.fr/sch/watchshop</t>
  </si>
  <si>
    <t xml:space="preserve">Conforama</t>
  </si>
  <si>
    <t xml:space="preserve">conforama.fr</t>
  </si>
  <si>
    <t xml:space="preserve">Microsoftstore-FR</t>
  </si>
  <si>
    <t xml:space="preserve">But-FR</t>
  </si>
  <si>
    <t xml:space="preserve">but.fr</t>
  </si>
  <si>
    <t xml:space="preserve">3suisses</t>
  </si>
  <si>
    <t xml:space="preserve">3suisses.fr</t>
  </si>
  <si>
    <t xml:space="preserve">Decathlon</t>
  </si>
  <si>
    <t xml:space="preserve">decathlon.fr</t>
  </si>
  <si>
    <t xml:space="preserve">Apple-FR</t>
  </si>
  <si>
    <t xml:space="preserve">Castorama</t>
  </si>
  <si>
    <t xml:space="preserve">castorama.fr</t>
  </si>
  <si>
    <t xml:space="preserve">Samsung-FR</t>
  </si>
  <si>
    <t xml:space="preserve">Ooshop-FR</t>
  </si>
  <si>
    <t xml:space="preserve">carrefour.fr</t>
  </si>
  <si>
    <t xml:space="preserve">Asos-FR</t>
  </si>
  <si>
    <t xml:space="preserve">Monoprix-FR</t>
  </si>
  <si>
    <t xml:space="preserve">monoprix.fr</t>
  </si>
  <si>
    <t xml:space="preserve">Maisondumonde-FR</t>
  </si>
  <si>
    <t xml:space="preserve">maisonsdumonde.com</t>
  </si>
  <si>
    <t xml:space="preserve">Lightinthebox-FR</t>
  </si>
  <si>
    <t xml:space="preserve">www.lightinthebox.com</t>
  </si>
  <si>
    <t xml:space="preserve">Spartoo</t>
  </si>
  <si>
    <t xml:space="preserve">spartoo.com</t>
  </si>
  <si>
    <t xml:space="preserve">LDLC</t>
  </si>
  <si>
    <t xml:space="preserve">ldlc.com</t>
  </si>
  <si>
    <t xml:space="preserve">Electrodepot-FR</t>
  </si>
  <si>
    <t xml:space="preserve">electrodepot.fr</t>
  </si>
  <si>
    <t xml:space="preserve">Greenweez</t>
  </si>
  <si>
    <t xml:space="preserve">greenweez.com</t>
  </si>
  <si>
    <t xml:space="preserve">BricoDepot-FR</t>
  </si>
  <si>
    <t xml:space="preserve">bricodepot.fr</t>
  </si>
  <si>
    <t xml:space="preserve">Philips-FR</t>
  </si>
  <si>
    <t xml:space="preserve">philips.fr</t>
  </si>
  <si>
    <t xml:space="preserve">Decitre-FR</t>
  </si>
  <si>
    <t xml:space="preserve">decitre.fr</t>
  </si>
  <si>
    <t xml:space="preserve">Santediscount-FR</t>
  </si>
  <si>
    <t xml:space="preserve">santediscount.com</t>
  </si>
  <si>
    <t xml:space="preserve">Free-FR</t>
  </si>
  <si>
    <t xml:space="preserve">mobile.free.fr</t>
  </si>
  <si>
    <t xml:space="preserve">Joueclub</t>
  </si>
  <si>
    <t xml:space="preserve">joueclub.fr</t>
  </si>
  <si>
    <t xml:space="preserve">Intersport</t>
  </si>
  <si>
    <t xml:space="preserve">intersport.fr</t>
  </si>
  <si>
    <t xml:space="preserve">Gibertjoseph.com</t>
  </si>
  <si>
    <t xml:space="preserve">gibert.com</t>
  </si>
  <si>
    <t xml:space="preserve">Dyson-FR</t>
  </si>
  <si>
    <t xml:space="preserve">dyson.fr</t>
  </si>
  <si>
    <t xml:space="preserve">King-Jouet</t>
  </si>
  <si>
    <t xml:space="preserve">king-jouet.com</t>
  </si>
  <si>
    <t xml:space="preserve">maxicoffee-FR</t>
  </si>
  <si>
    <t xml:space="preserve">maxicoffee.com</t>
  </si>
  <si>
    <t xml:space="preserve">BlanchePorte-FR</t>
  </si>
  <si>
    <t xml:space="preserve">blancheporte.fr</t>
  </si>
  <si>
    <t xml:space="preserve">Shopdisney-FR</t>
  </si>
  <si>
    <t xml:space="preserve">shopdisney.fr</t>
  </si>
  <si>
    <t xml:space="preserve">Nocibe-FR</t>
  </si>
  <si>
    <t xml:space="preserve">nocibe.fr</t>
  </si>
  <si>
    <t xml:space="preserve">Zara-FR</t>
  </si>
  <si>
    <t xml:space="preserve">www.zara.com/fr/</t>
  </si>
  <si>
    <t xml:space="preserve">Gammvert-FR</t>
  </si>
  <si>
    <t xml:space="preserve">https://www.gammvert.fr/</t>
  </si>
  <si>
    <t xml:space="preserve">Mango-FR</t>
  </si>
  <si>
    <t xml:space="preserve">shop.mango.com</t>
  </si>
  <si>
    <t xml:space="preserve">Nike-FR</t>
  </si>
  <si>
    <t xml:space="preserve">Oxybul-FR</t>
  </si>
  <si>
    <t xml:space="preserve">oxybul.com</t>
  </si>
  <si>
    <t xml:space="preserve">IC - Manual Monitoring - Temp</t>
  </si>
  <si>
    <t xml:space="preserve">Tikamoon</t>
  </si>
  <si>
    <t xml:space="preserve">tikamoon.com</t>
  </si>
  <si>
    <t xml:space="preserve">Micromania</t>
  </si>
  <si>
    <t xml:space="preserve">micromania.fr</t>
  </si>
  <si>
    <t xml:space="preserve">Vidaxl-FR</t>
  </si>
  <si>
    <t xml:space="preserve">vidaxl.fr</t>
  </si>
  <si>
    <t xml:space="preserve">HPStore-FR</t>
  </si>
  <si>
    <t xml:space="preserve">Sephora</t>
  </si>
  <si>
    <t xml:space="preserve">sephora.fr</t>
  </si>
  <si>
    <t xml:space="preserve">Bureau-vallee</t>
  </si>
  <si>
    <t xml:space="preserve">bureau-vallee.fr</t>
  </si>
  <si>
    <t xml:space="preserve">Oscaro-FR</t>
  </si>
  <si>
    <t xml:space="preserve">oscaro.com</t>
  </si>
  <si>
    <t xml:space="preserve">Fruugo-FR</t>
  </si>
  <si>
    <t xml:space="preserve">fruugo.fr</t>
  </si>
  <si>
    <t xml:space="preserve">Sarenza</t>
  </si>
  <si>
    <t xml:space="preserve">sarenza.com</t>
  </si>
  <si>
    <t xml:space="preserve">AdidasOriginals-FR</t>
  </si>
  <si>
    <t xml:space="preserve">adidas.fr</t>
  </si>
  <si>
    <t xml:space="preserve">Go-sport</t>
  </si>
  <si>
    <t xml:space="preserve">go-sport.com</t>
  </si>
  <si>
    <t xml:space="preserve">Truffaut-FR</t>
  </si>
  <si>
    <t xml:space="preserve">truffaut.com</t>
  </si>
  <si>
    <t xml:space="preserve">Motoblouz</t>
  </si>
  <si>
    <t xml:space="preserve">motoblouz.com</t>
  </si>
  <si>
    <t xml:space="preserve">Bricomarche</t>
  </si>
  <si>
    <t xml:space="preserve">bricomarche.com</t>
  </si>
  <si>
    <t xml:space="preserve">Allobebe</t>
  </si>
  <si>
    <t xml:space="preserve">allobebe.fr</t>
  </si>
  <si>
    <t xml:space="preserve">Aubert-FR</t>
  </si>
  <si>
    <t xml:space="preserve">aubert.com</t>
  </si>
  <si>
    <t xml:space="preserve">LaboutiqueOfficielle-FR</t>
  </si>
  <si>
    <t xml:space="preserve">laboutiqueofficielle.com</t>
  </si>
  <si>
    <t xml:space="preserve">Norauto</t>
  </si>
  <si>
    <t xml:space="preserve">norauto.fr</t>
  </si>
  <si>
    <t xml:space="preserve">BonPrix-FR</t>
  </si>
  <si>
    <t xml:space="preserve">https://www.bonprix.fr/</t>
  </si>
  <si>
    <t xml:space="preserve">Camif-FR</t>
  </si>
  <si>
    <t xml:space="preserve">camif.fr</t>
  </si>
  <si>
    <t xml:space="preserve">Oogarden-FR</t>
  </si>
  <si>
    <t xml:space="preserve">oogarden.com</t>
  </si>
  <si>
    <t xml:space="preserve">Roseoubleu-FR</t>
  </si>
  <si>
    <t xml:space="preserve">roseoubleu.fr</t>
  </si>
  <si>
    <t xml:space="preserve">Picwictoys-FR</t>
  </si>
  <si>
    <t xml:space="preserve">picwictoys.com</t>
  </si>
  <si>
    <t xml:space="preserve">Mr-Bricolage</t>
  </si>
  <si>
    <t xml:space="preserve">mr-bricolage.fr</t>
  </si>
  <si>
    <t xml:space="preserve">Camaieu-FR</t>
  </si>
  <si>
    <t xml:space="preserve">camaieu.fr</t>
  </si>
  <si>
    <t xml:space="preserve">C&amp;A-FR</t>
  </si>
  <si>
    <t xml:space="preserve">https://www.c-and-a.com/eu/en/shop</t>
  </si>
  <si>
    <t xml:space="preserve">Philibert-FR</t>
  </si>
  <si>
    <t xml:space="preserve">philibertnet.com</t>
  </si>
  <si>
    <t xml:space="preserve">Lego</t>
  </si>
  <si>
    <t xml:space="preserve">lego.com</t>
  </si>
  <si>
    <t xml:space="preserve">Feuvert</t>
  </si>
  <si>
    <t xml:space="preserve">feuvert.fr</t>
  </si>
  <si>
    <t xml:space="preserve">RougierPle-FR</t>
  </si>
  <si>
    <t xml:space="preserve">rougier-ple.fr</t>
  </si>
  <si>
    <t xml:space="preserve">Nespresso-FR</t>
  </si>
  <si>
    <t xml:space="preserve">https://www.nespresso.com/fr/fr/</t>
  </si>
  <si>
    <t xml:space="preserve">Menzzo-FR</t>
  </si>
  <si>
    <t xml:space="preserve">menzzo.fr</t>
  </si>
  <si>
    <t xml:space="preserve">Chaussures-FR</t>
  </si>
  <si>
    <t xml:space="preserve">chaussures.fr</t>
  </si>
  <si>
    <t xml:space="preserve">Lego-FR</t>
  </si>
  <si>
    <t xml:space="preserve">Uniqlo-FR</t>
  </si>
  <si>
    <t xml:space="preserve">https://www.uniqlo.com/fr/fr/home</t>
  </si>
  <si>
    <t xml:space="preserve">Bosch-FR</t>
  </si>
  <si>
    <t xml:space="preserve">bosch-home.fr</t>
  </si>
  <si>
    <t xml:space="preserve">Vertbaudet</t>
  </si>
  <si>
    <t xml:space="preserve">vertbaudet.fr</t>
  </si>
  <si>
    <t xml:space="preserve">DELL-FR</t>
  </si>
  <si>
    <t xml:space="preserve">JD-Sports-FR</t>
  </si>
  <si>
    <t xml:space="preserve">jdsports.fr</t>
  </si>
  <si>
    <t xml:space="preserve">LaGrandeRecre</t>
  </si>
  <si>
    <t xml:space="preserve">lagranderecre.fr</t>
  </si>
  <si>
    <t xml:space="preserve">Playmobil-FR</t>
  </si>
  <si>
    <t xml:space="preserve">playmobil.fr</t>
  </si>
  <si>
    <t xml:space="preserve">IN-Cloudtail</t>
  </si>
  <si>
    <t xml:space="preserve">Reliance Digital</t>
  </si>
  <si>
    <t xml:space="preserve">reliancedigital.in</t>
  </si>
  <si>
    <t xml:space="preserve">Paytm-IN</t>
  </si>
  <si>
    <t xml:space="preserve">paytmmall.com</t>
  </si>
  <si>
    <t xml:space="preserve">TataCLiQ-IN</t>
  </si>
  <si>
    <t xml:space="preserve">tatacliq.com</t>
  </si>
  <si>
    <t xml:space="preserve">Samsung-IN</t>
  </si>
  <si>
    <t xml:space="preserve">CromaElectronics-IN</t>
  </si>
  <si>
    <t xml:space="preserve">croma.com</t>
  </si>
  <si>
    <t xml:space="preserve">Apple-IN</t>
  </si>
  <si>
    <t xml:space="preserve">Ajio-IN</t>
  </si>
  <si>
    <t xml:space="preserve">ajio.com</t>
  </si>
  <si>
    <t xml:space="preserve">Nykaa-IN</t>
  </si>
  <si>
    <t xml:space="preserve">nykaa.com</t>
  </si>
  <si>
    <t xml:space="preserve">BigBasket-IN</t>
  </si>
  <si>
    <t xml:space="preserve">bigbasket.com</t>
  </si>
  <si>
    <t xml:space="preserve">Aliexpress-IT</t>
  </si>
  <si>
    <t xml:space="preserve">it.aliexpress.com</t>
  </si>
  <si>
    <t xml:space="preserve">HPStore-IT</t>
  </si>
  <si>
    <t xml:space="preserve">Ebay-IT-Watchshop</t>
  </si>
  <si>
    <t xml:space="preserve">www.ebay.it/sch/watchshop</t>
  </si>
  <si>
    <t xml:space="preserve">mondadoristore.it</t>
  </si>
  <si>
    <t xml:space="preserve">Microsoft-IT</t>
  </si>
  <si>
    <t xml:space="preserve">https://www.microsoft.com/it-it/microsoft-365/microsoft-office?rtc=1</t>
  </si>
  <si>
    <t xml:space="preserve">Samsung-IT</t>
  </si>
  <si>
    <t xml:space="preserve">Microsoftstore-IT</t>
  </si>
  <si>
    <t xml:space="preserve">Monclick-IT</t>
  </si>
  <si>
    <t xml:space="preserve">monclick.it</t>
  </si>
  <si>
    <t xml:space="preserve">Libraccio-IT</t>
  </si>
  <si>
    <t xml:space="preserve">libraccio.it</t>
  </si>
  <si>
    <t xml:space="preserve">Apple-IT</t>
  </si>
  <si>
    <t xml:space="preserve">LeroyMerlin-IT</t>
  </si>
  <si>
    <t xml:space="preserve">leroymerlin.it</t>
  </si>
  <si>
    <t xml:space="preserve">Lafeltrinelli-IT</t>
  </si>
  <si>
    <t xml:space="preserve">lafeltrinelli.it</t>
  </si>
  <si>
    <t xml:space="preserve">Trony-IT</t>
  </si>
  <si>
    <t xml:space="preserve">trony.it</t>
  </si>
  <si>
    <t xml:space="preserve">Ikea-IT</t>
  </si>
  <si>
    <t xml:space="preserve">Mi-IT</t>
  </si>
  <si>
    <t xml:space="preserve">BonPrix-IT</t>
  </si>
  <si>
    <t xml:space="preserve">bonprix.it</t>
  </si>
  <si>
    <t xml:space="preserve">Libreriauniversitaria-IT</t>
  </si>
  <si>
    <t xml:space="preserve">libreriauniversitaria.it</t>
  </si>
  <si>
    <t xml:space="preserve">Edilportale-IT</t>
  </si>
  <si>
    <t xml:space="preserve">www.edilportale.com</t>
  </si>
  <si>
    <t xml:space="preserve">ASOS-IT</t>
  </si>
  <si>
    <t xml:space="preserve">Decathlon-IT</t>
  </si>
  <si>
    <t xml:space="preserve">decathlon.it</t>
  </si>
  <si>
    <t xml:space="preserve">Spartoo-IT</t>
  </si>
  <si>
    <t xml:space="preserve">spartoo.it</t>
  </si>
  <si>
    <t xml:space="preserve">Philips-IT</t>
  </si>
  <si>
    <t xml:space="preserve">philips.it</t>
  </si>
  <si>
    <t xml:space="preserve">Farmacialoreto-IT</t>
  </si>
  <si>
    <t xml:space="preserve">farmacialoreto.it</t>
  </si>
  <si>
    <t xml:space="preserve">Notino-IT</t>
  </si>
  <si>
    <t xml:space="preserve">notino.it</t>
  </si>
  <si>
    <t xml:space="preserve">Farmae-IT</t>
  </si>
  <si>
    <t xml:space="preserve">farmae.it</t>
  </si>
  <si>
    <t xml:space="preserve">Douglas-IT</t>
  </si>
  <si>
    <t xml:space="preserve">douglas.it</t>
  </si>
  <si>
    <t xml:space="preserve">Nike-IT</t>
  </si>
  <si>
    <t xml:space="preserve">Escarpe-IT</t>
  </si>
  <si>
    <t xml:space="preserve">escarpe.it</t>
  </si>
  <si>
    <t xml:space="preserve">Farmacosmo-IT</t>
  </si>
  <si>
    <t xml:space="preserve">farmacosmo.it</t>
  </si>
  <si>
    <t xml:space="preserve">Cliccaeritira-IT</t>
  </si>
  <si>
    <t xml:space="preserve">carrefour.it</t>
  </si>
  <si>
    <t xml:space="preserve">Obi-IT</t>
  </si>
  <si>
    <t xml:space="preserve">obi-italia.it</t>
  </si>
  <si>
    <t xml:space="preserve">Ilgiardinodeilibri-IT</t>
  </si>
  <si>
    <t xml:space="preserve">ilgiardinodeilibri.it</t>
  </si>
  <si>
    <t xml:space="preserve">toycenter.it</t>
  </si>
  <si>
    <t xml:space="preserve">toyscenter.it</t>
  </si>
  <si>
    <t xml:space="preserve">Shop-Farmacia-IT</t>
  </si>
  <si>
    <t xml:space="preserve">shop-farmacia.it</t>
  </si>
  <si>
    <t xml:space="preserve">Yoox-IT</t>
  </si>
  <si>
    <t xml:space="preserve">yoox.com</t>
  </si>
  <si>
    <t xml:space="preserve">Adidas-IT</t>
  </si>
  <si>
    <t xml:space="preserve">adidas.it</t>
  </si>
  <si>
    <t xml:space="preserve">GameStop-IT</t>
  </si>
  <si>
    <t xml:space="preserve">gamestop.it</t>
  </si>
  <si>
    <t xml:space="preserve">DeghiShop-IT</t>
  </si>
  <si>
    <t xml:space="preserve">deghishop.it</t>
  </si>
  <si>
    <t xml:space="preserve">Club Foppapedretti</t>
  </si>
  <si>
    <t xml:space="preserve">shop.foppapedretti.it</t>
  </si>
  <si>
    <t xml:space="preserve">PinkOrBlue-IT</t>
  </si>
  <si>
    <t xml:space="preserve">pinkorblue.it</t>
  </si>
  <si>
    <t xml:space="preserve">Bricoman-IT</t>
  </si>
  <si>
    <t xml:space="preserve">bricoman.it</t>
  </si>
  <si>
    <t xml:space="preserve">Amicafarmacia-IT</t>
  </si>
  <si>
    <t xml:space="preserve">amicafarmacia.com</t>
  </si>
  <si>
    <t xml:space="preserve">StrumentiMusicali-IT</t>
  </si>
  <si>
    <t xml:space="preserve">strumentimusicali.net</t>
  </si>
  <si>
    <t xml:space="preserve">HUAWEI-IT</t>
  </si>
  <si>
    <t xml:space="preserve">huawei.com</t>
  </si>
  <si>
    <t xml:space="preserve">LG-IT</t>
  </si>
  <si>
    <t xml:space="preserve">lg.com</t>
  </si>
  <si>
    <t xml:space="preserve">Modivo-IT</t>
  </si>
  <si>
    <t xml:space="preserve">modivo.it</t>
  </si>
  <si>
    <t xml:space="preserve">Efarma-IT</t>
  </si>
  <si>
    <t xml:space="preserve">efarma.com</t>
  </si>
  <si>
    <t xml:space="preserve">Guess-IT</t>
  </si>
  <si>
    <t xml:space="preserve">guess.eu</t>
  </si>
  <si>
    <t xml:space="preserve">BimboStore-IT</t>
  </si>
  <si>
    <t xml:space="preserve">bimbostore.com</t>
  </si>
  <si>
    <t xml:space="preserve">Puma-IT</t>
  </si>
  <si>
    <t xml:space="preserve">Lookfantastic-IT</t>
  </si>
  <si>
    <t xml:space="preserve">lookfantastic.it</t>
  </si>
  <si>
    <t xml:space="preserve">Kiabi-IT</t>
  </si>
  <si>
    <t xml:space="preserve">https://www.kiabi.it/</t>
  </si>
  <si>
    <t xml:space="preserve">Mango-IT</t>
  </si>
  <si>
    <t xml:space="preserve">Armani-IT</t>
  </si>
  <si>
    <t xml:space="preserve">armani.com</t>
  </si>
  <si>
    <t xml:space="preserve">UnileverShop-IT</t>
  </si>
  <si>
    <t xml:space="preserve">unilevershop.it</t>
  </si>
  <si>
    <t xml:space="preserve">Aboutyou-IT</t>
  </si>
  <si>
    <t xml:space="preserve">https://www.aboutyou.it/tuo-negozio</t>
  </si>
  <si>
    <t xml:space="preserve">Reebok-IT</t>
  </si>
  <si>
    <t xml:space="preserve">reebok.it</t>
  </si>
  <si>
    <t xml:space="preserve">michaelkors-IT</t>
  </si>
  <si>
    <t xml:space="preserve">michaelkors.it</t>
  </si>
  <si>
    <t xml:space="preserve">Diesel-IT</t>
  </si>
  <si>
    <t xml:space="preserve">it.diesel.com</t>
  </si>
  <si>
    <t xml:space="preserve">IT-Tommy</t>
  </si>
  <si>
    <t xml:space="preserve">it.tommy.com</t>
  </si>
  <si>
    <t xml:space="preserve">Lego-IT</t>
  </si>
  <si>
    <t xml:space="preserve">Benetton-IT</t>
  </si>
  <si>
    <t xml:space="preserve">it.benetton.com</t>
  </si>
  <si>
    <t xml:space="preserve">Miasuite-IT</t>
  </si>
  <si>
    <t xml:space="preserve">miasuite.it</t>
  </si>
  <si>
    <t xml:space="preserve">Pandora-IT</t>
  </si>
  <si>
    <t xml:space="preserve">it.pandora.net</t>
  </si>
  <si>
    <t xml:space="preserve">JD-Sports-IT</t>
  </si>
  <si>
    <t xml:space="preserve">jdsports.it</t>
  </si>
  <si>
    <t xml:space="preserve">Asics-IT</t>
  </si>
  <si>
    <t xml:space="preserve">MacroLibrarsi-IT</t>
  </si>
  <si>
    <t xml:space="preserve">macrolibrarsi.it</t>
  </si>
  <si>
    <t xml:space="preserve">Dell-IT</t>
  </si>
  <si>
    <t xml:space="preserve">Snipes-IT</t>
  </si>
  <si>
    <t xml:space="preserve">snipes.it</t>
  </si>
  <si>
    <t xml:space="preserve">Desigual-IT</t>
  </si>
  <si>
    <t xml:space="preserve">Calvinklein_IT</t>
  </si>
  <si>
    <t xml:space="preserve">calvinklein.it</t>
  </si>
  <si>
    <t xml:space="preserve">Lenovo-IT</t>
  </si>
  <si>
    <t xml:space="preserve">lenovo.com</t>
  </si>
  <si>
    <t xml:space="preserve">Sorelleramonda-IT</t>
  </si>
  <si>
    <t xml:space="preserve">sorelleramonda.com</t>
  </si>
  <si>
    <t xml:space="preserve">Napapijiri-IT</t>
  </si>
  <si>
    <t xml:space="preserve">napapijri.it</t>
  </si>
  <si>
    <t xml:space="preserve">Sephora-IT</t>
  </si>
  <si>
    <t xml:space="preserve">sephora.it</t>
  </si>
  <si>
    <t xml:space="preserve">Vans-IT</t>
  </si>
  <si>
    <t xml:space="preserve">vans.it</t>
  </si>
  <si>
    <t xml:space="preserve">Prenatal-IT</t>
  </si>
  <si>
    <t xml:space="preserve">prenatal.com</t>
  </si>
  <si>
    <t xml:space="preserve">KarlLagerfeld-IT</t>
  </si>
  <si>
    <t xml:space="preserve">karl.com</t>
  </si>
  <si>
    <t xml:space="preserve">Geox-IT</t>
  </si>
  <si>
    <t xml:space="preserve">geox.com</t>
  </si>
  <si>
    <t xml:space="preserve">Nandida-IT</t>
  </si>
  <si>
    <t xml:space="preserve">nandida.com</t>
  </si>
  <si>
    <t xml:space="preserve">Lacoste-IT</t>
  </si>
  <si>
    <t xml:space="preserve">Timberland-IT</t>
  </si>
  <si>
    <t xml:space="preserve">timberland.it</t>
  </si>
  <si>
    <t xml:space="preserve">PayPayMall-JP</t>
  </si>
  <si>
    <t xml:space="preserve">https://paypaymall.yahoo.co.jp/</t>
  </si>
  <si>
    <t xml:space="preserve">Yamada-Denki</t>
  </si>
  <si>
    <t xml:space="preserve">www.yamada-denkiweb.com</t>
  </si>
  <si>
    <t xml:space="preserve">Yodobashi_DG</t>
  </si>
  <si>
    <t xml:space="preserve">https://www.yodobashi.com/</t>
  </si>
  <si>
    <t xml:space="preserve">Sofmap</t>
  </si>
  <si>
    <t xml:space="preserve">https://www.sofmap.com/</t>
  </si>
  <si>
    <t xml:space="preserve">Edion</t>
  </si>
  <si>
    <t xml:space="preserve">www.edion.com</t>
  </si>
  <si>
    <t xml:space="preserve">Loftonline-JP</t>
  </si>
  <si>
    <t xml:space="preserve">loft.omni7.jp/top</t>
  </si>
  <si>
    <t xml:space="preserve">HMV-JP</t>
  </si>
  <si>
    <t xml:space="preserve">www.hmv.co.jp</t>
  </si>
  <si>
    <t xml:space="preserve">Irisoyama-JP</t>
  </si>
  <si>
    <t xml:space="preserve">https://www.irisohyama.co.jp</t>
  </si>
  <si>
    <t xml:space="preserve">Kinokuniya</t>
  </si>
  <si>
    <t xml:space="preserve">www.kinokuniya.co.jp</t>
  </si>
  <si>
    <t xml:space="preserve">Askul</t>
  </si>
  <si>
    <t xml:space="preserve">https://www.askul.co.jp/</t>
  </si>
  <si>
    <t xml:space="preserve">Joshin web</t>
  </si>
  <si>
    <t xml:space="preserve">https://joshinweb.jp/top.html</t>
  </si>
  <si>
    <t xml:space="preserve">Naturam</t>
  </si>
  <si>
    <t xml:space="preserve">www.naturum.co.jp</t>
  </si>
  <si>
    <t xml:space="preserve">www.monotaro.com</t>
  </si>
  <si>
    <t xml:space="preserve">MX</t>
  </si>
  <si>
    <t xml:space="preserve">MercadoLibre-MX</t>
  </si>
  <si>
    <t xml:space="preserve">mercadolibre.com.mx</t>
  </si>
  <si>
    <t xml:space="preserve">Sears-MX</t>
  </si>
  <si>
    <t xml:space="preserve">sears.com.mx</t>
  </si>
  <si>
    <t xml:space="preserve">Sanborns-MX</t>
  </si>
  <si>
    <t xml:space="preserve">sanborns.com.mx</t>
  </si>
  <si>
    <t xml:space="preserve">Costco-MX</t>
  </si>
  <si>
    <t xml:space="preserve">costco.com.mx</t>
  </si>
  <si>
    <t xml:space="preserve">Linio-MX</t>
  </si>
  <si>
    <t xml:space="preserve">linio.com.mx</t>
  </si>
  <si>
    <t xml:space="preserve">Elektra-MX</t>
  </si>
  <si>
    <t xml:space="preserve">elektra.com.mx</t>
  </si>
  <si>
    <t xml:space="preserve">Claroshop-MX</t>
  </si>
  <si>
    <t xml:space="preserve">claroshop.com</t>
  </si>
  <si>
    <t xml:space="preserve">ElPalaciodeHierro-MX</t>
  </si>
  <si>
    <t xml:space="preserve">elpalaciodehierro.com</t>
  </si>
  <si>
    <t xml:space="preserve">Soriana-MX</t>
  </si>
  <si>
    <t xml:space="preserve">soriana.com</t>
  </si>
  <si>
    <t xml:space="preserve">HEB-MX</t>
  </si>
  <si>
    <t xml:space="preserve">heb.com.mx</t>
  </si>
  <si>
    <t xml:space="preserve">Suburbia-MX</t>
  </si>
  <si>
    <t xml:space="preserve">suburbia.com.mx</t>
  </si>
  <si>
    <t xml:space="preserve">Fahorro-MX</t>
  </si>
  <si>
    <t xml:space="preserve">fahorro.com</t>
  </si>
  <si>
    <t xml:space="preserve">Famsa-MX</t>
  </si>
  <si>
    <t xml:space="preserve">famsa.com</t>
  </si>
  <si>
    <t xml:space="preserve">FarmaciaSanPablo-MX</t>
  </si>
  <si>
    <t xml:space="preserve">farmaciasanpablo.com.mx</t>
  </si>
  <si>
    <t xml:space="preserve">HomeDepot-MX</t>
  </si>
  <si>
    <t xml:space="preserve">homedepot.com.mx</t>
  </si>
  <si>
    <t xml:space="preserve">Gameplanet-MX</t>
  </si>
  <si>
    <t xml:space="preserve">gameplanet.com</t>
  </si>
  <si>
    <t xml:space="preserve">Samsung_MX</t>
  </si>
  <si>
    <t xml:space="preserve">samsungstore.mx</t>
  </si>
  <si>
    <t xml:space="preserve">Lacomer-MX</t>
  </si>
  <si>
    <t xml:space="preserve">lacomer.com.mx</t>
  </si>
  <si>
    <t xml:space="preserve">OfficeDepot-MX</t>
  </si>
  <si>
    <t xml:space="preserve">officedepot.com.mx</t>
  </si>
  <si>
    <t xml:space="preserve">InnovaSport-MX</t>
  </si>
  <si>
    <t xml:space="preserve">innovasport.com</t>
  </si>
  <si>
    <t xml:space="preserve">NIKE-MX</t>
  </si>
  <si>
    <t xml:space="preserve">Elsotano-MX</t>
  </si>
  <si>
    <t xml:space="preserve">elsotano.com</t>
  </si>
  <si>
    <t xml:space="preserve">Gandhi-MX</t>
  </si>
  <si>
    <t xml:space="preserve">gandhi.com.mx</t>
  </si>
  <si>
    <t xml:space="preserve">Farmaciasguadalajara-MX</t>
  </si>
  <si>
    <t xml:space="preserve">farmaciasguadalajara.com</t>
  </si>
  <si>
    <t xml:space="preserve">Grainger-MX</t>
  </si>
  <si>
    <t xml:space="preserve">grainger.com.mx</t>
  </si>
  <si>
    <t xml:space="preserve">Gonvill-MX</t>
  </si>
  <si>
    <t xml:space="preserve">gonvill.com.mx</t>
  </si>
  <si>
    <t xml:space="preserve">Buscalibre-mx</t>
  </si>
  <si>
    <t xml:space="preserve">buscalibre.com.mx</t>
  </si>
  <si>
    <t xml:space="preserve">AdidasOnline-MX</t>
  </si>
  <si>
    <t xml:space="preserve">adidas.mx</t>
  </si>
  <si>
    <t xml:space="preserve">Invictus-MX</t>
  </si>
  <si>
    <t xml:space="preserve">innvictus.com</t>
  </si>
  <si>
    <t xml:space="preserve">CalvinKlein-MX</t>
  </si>
  <si>
    <t xml:space="preserve">calvinklein.mx</t>
  </si>
  <si>
    <t xml:space="preserve">Epicland-MX</t>
  </si>
  <si>
    <t xml:space="preserve">https://epicland.com.mx/</t>
  </si>
  <si>
    <t xml:space="preserve">Marti-MX</t>
  </si>
  <si>
    <t xml:space="preserve">marti.mx</t>
  </si>
  <si>
    <t xml:space="preserve">Dportenis-MX</t>
  </si>
  <si>
    <t xml:space="preserve">dportenis.mx</t>
  </si>
  <si>
    <t xml:space="preserve">SuperNaturista-MX</t>
  </si>
  <si>
    <t xml:space="preserve">supernaturista.com</t>
  </si>
  <si>
    <t xml:space="preserve">UnderArmour-MX</t>
  </si>
  <si>
    <t xml:space="preserve">underarmour.com.mx</t>
  </si>
  <si>
    <t xml:space="preserve">Iherb-MX</t>
  </si>
  <si>
    <t xml:space="preserve">mx.iherb.com</t>
  </si>
  <si>
    <t xml:space="preserve">Mixup-MX</t>
  </si>
  <si>
    <t xml:space="preserve">mixup.com.mx</t>
  </si>
  <si>
    <t xml:space="preserve">NL</t>
  </si>
  <si>
    <t xml:space="preserve">Alternate-NL</t>
  </si>
  <si>
    <t xml:space="preserve">alternate.nl</t>
  </si>
  <si>
    <t xml:space="preserve">Mediamarkt-NL</t>
  </si>
  <si>
    <t xml:space="preserve">mediamarkt.nl</t>
  </si>
  <si>
    <t xml:space="preserve">Albert-Heijn-NL</t>
  </si>
  <si>
    <t xml:space="preserve">ah.nl</t>
  </si>
  <si>
    <t xml:space="preserve">blokker.nl</t>
  </si>
  <si>
    <t xml:space="preserve">conrad.nl</t>
  </si>
  <si>
    <t xml:space="preserve">Megekko-NL</t>
  </si>
  <si>
    <t xml:space="preserve">megekko.nl</t>
  </si>
  <si>
    <t xml:space="preserve">KrefelBE-NL</t>
  </si>
  <si>
    <t xml:space="preserve">krefel.be</t>
  </si>
  <si>
    <t xml:space="preserve">Otto-NL</t>
  </si>
  <si>
    <t xml:space="preserve">otto.nl</t>
  </si>
  <si>
    <t xml:space="preserve">Kruidvat-NL</t>
  </si>
  <si>
    <t xml:space="preserve">kruidvat.nl</t>
  </si>
  <si>
    <t xml:space="preserve">Jumbo-NL</t>
  </si>
  <si>
    <t xml:space="preserve">jumbo.com</t>
  </si>
  <si>
    <t xml:space="preserve">Nedgame-NL</t>
  </si>
  <si>
    <t xml:space="preserve">nedgame.nl</t>
  </si>
  <si>
    <t xml:space="preserve">Aliexpress-PL</t>
  </si>
  <si>
    <t xml:space="preserve">pl.aliexpress.com/</t>
  </si>
  <si>
    <t xml:space="preserve">Allegro</t>
  </si>
  <si>
    <t xml:space="preserve">https://allegro.pl</t>
  </si>
  <si>
    <t xml:space="preserve">SIC</t>
  </si>
  <si>
    <t xml:space="preserve">Aptekagemini-PL</t>
  </si>
  <si>
    <t xml:space="preserve">https://gemini.pl/</t>
  </si>
  <si>
    <t xml:space="preserve">Castorama-PL </t>
  </si>
  <si>
    <t xml:space="preserve">Ceneo-PL</t>
  </si>
  <si>
    <t xml:space="preserve">www.ceneo.pl</t>
  </si>
  <si>
    <t xml:space="preserve">Empik-PL</t>
  </si>
  <si>
    <t xml:space="preserve">www.empik.com</t>
  </si>
  <si>
    <t xml:space="preserve">Eobuwie-PL</t>
  </si>
  <si>
    <t xml:space="preserve">Komputronik-PL</t>
  </si>
  <si>
    <t xml:space="preserve">www.komputronik.pl</t>
  </si>
  <si>
    <t xml:space="preserve">LeroyMerlin-PL </t>
  </si>
  <si>
    <t xml:space="preserve">MediaExpert-PL</t>
  </si>
  <si>
    <t xml:space="preserve">www.mediaexpert.pl/</t>
  </si>
  <si>
    <t xml:space="preserve">MediaMarkt-PL</t>
  </si>
  <si>
    <t xml:space="preserve">https://mediamarkt.pl/</t>
  </si>
  <si>
    <t xml:space="preserve">SA</t>
  </si>
  <si>
    <t xml:space="preserve">Xcite-SA</t>
  </si>
  <si>
    <t xml:space="preserve">https://www.xcite.com.sa/</t>
  </si>
  <si>
    <t xml:space="preserve">Carrefour-SA</t>
  </si>
  <si>
    <t xml:space="preserve">https://www.carrefourksa.com/mafsau/en/</t>
  </si>
  <si>
    <t xml:space="preserve">Nahdi-SA</t>
  </si>
  <si>
    <t xml:space="preserve">https://www.nahdionline.com/en/</t>
  </si>
  <si>
    <t xml:space="preserve">Saco-SA</t>
  </si>
  <si>
    <t xml:space="preserve">https://www.saco.sa/en</t>
  </si>
  <si>
    <t xml:space="preserve">Mumzworld-SA</t>
  </si>
  <si>
    <t xml:space="preserve">https://saudi.mumzworld.com/sa-en/</t>
  </si>
  <si>
    <t xml:space="preserve">Jollychic-SA</t>
  </si>
  <si>
    <t xml:space="preserve">https://www.jollychic.com/?regioncode=ksa</t>
  </si>
  <si>
    <t xml:space="preserve">Eddy-SA</t>
  </si>
  <si>
    <t xml:space="preserve">https://eddy.com.sa/</t>
  </si>
  <si>
    <t xml:space="preserve">Abdulwahed-SA</t>
  </si>
  <si>
    <t xml:space="preserve">https://www.abdulwahed.com/en/</t>
  </si>
  <si>
    <t xml:space="preserve">Noondaily-SA</t>
  </si>
  <si>
    <t xml:space="preserve">https://daily.noon.com/saudi-en/</t>
  </si>
  <si>
    <t xml:space="preserve">Sporter-SA</t>
  </si>
  <si>
    <t xml:space="preserve">https://www.sporter.com/en-sa/</t>
  </si>
  <si>
    <t xml:space="preserve">GoSupps-SA</t>
  </si>
  <si>
    <t xml:space="preserve">https://www.gosupps.com/en-sa/</t>
  </si>
  <si>
    <t xml:space="preserve">SE</t>
  </si>
  <si>
    <t xml:space="preserve">Proshop-SE</t>
  </si>
  <si>
    <t xml:space="preserve">www.proshop.se</t>
  </si>
  <si>
    <t xml:space="preserve">Biltema-SE</t>
  </si>
  <si>
    <t xml:space="preserve">biltema.se</t>
  </si>
  <si>
    <t xml:space="preserve">Microsoftstore-SE</t>
  </si>
  <si>
    <t xml:space="preserve">www.microsoft.com/sv-se</t>
  </si>
  <si>
    <t xml:space="preserve">Boozt-SE</t>
  </si>
  <si>
    <t xml:space="preserve">boozt.com</t>
  </si>
  <si>
    <t xml:space="preserve">Adlibris</t>
  </si>
  <si>
    <t xml:space="preserve">https://www.adlibris.com/se</t>
  </si>
  <si>
    <t xml:space="preserve">Ahlens-SE</t>
  </si>
  <si>
    <t xml:space="preserve">ahlens.se</t>
  </si>
  <si>
    <t xml:space="preserve">Elgiganten-SE</t>
  </si>
  <si>
    <t xml:space="preserve">www.elgiganten.se/</t>
  </si>
  <si>
    <t xml:space="preserve">Netonnet-SE</t>
  </si>
  <si>
    <t xml:space="preserve">www.netonnet.se/</t>
  </si>
  <si>
    <t xml:space="preserve">www.mediamarkt.se/</t>
  </si>
  <si>
    <t xml:space="preserve">https://www.webhallen.com/</t>
  </si>
  <si>
    <t xml:space="preserve">Apotea-SE</t>
  </si>
  <si>
    <t xml:space="preserve">www.apotea.se</t>
  </si>
  <si>
    <t xml:space="preserve">Qoo10_SING</t>
  </si>
  <si>
    <t xml:space="preserve">qoo10.sg</t>
  </si>
  <si>
    <t xml:space="preserve">FairPrice_SING</t>
  </si>
  <si>
    <t xml:space="preserve">fairprice.com.sg</t>
  </si>
  <si>
    <t xml:space="preserve">Samsung_SING</t>
  </si>
  <si>
    <t xml:space="preserve">Apple_SING</t>
  </si>
  <si>
    <t xml:space="preserve">https://www.apple.com/sg/</t>
  </si>
  <si>
    <t xml:space="preserve">courts.com.sg</t>
  </si>
  <si>
    <t xml:space="preserve">Zalora_SING</t>
  </si>
  <si>
    <t xml:space="preserve">zalora.sg</t>
  </si>
  <si>
    <t xml:space="preserve">Tangs_SING</t>
  </si>
  <si>
    <t xml:space="preserve">tangs.com</t>
  </si>
  <si>
    <t xml:space="preserve">giant.sg</t>
  </si>
  <si>
    <t xml:space="preserve">HarveyNorman_SING</t>
  </si>
  <si>
    <t xml:space="preserve">harveynorman.com.sg</t>
  </si>
  <si>
    <t xml:space="preserve">Watsons_SING</t>
  </si>
  <si>
    <t xml:space="preserve">watsons.com.sg</t>
  </si>
  <si>
    <t xml:space="preserve">coldstorage.com.sg</t>
  </si>
  <si>
    <t xml:space="preserve">Best Denki_SING</t>
  </si>
  <si>
    <t xml:space="preserve">bestdenki.com.sg</t>
  </si>
  <si>
    <t xml:space="preserve">HachiTech_SING</t>
  </si>
  <si>
    <t xml:space="preserve">hachi.tech</t>
  </si>
  <si>
    <t xml:space="preserve">Guardian_SING</t>
  </si>
  <si>
    <t xml:space="preserve">guardian.com.sg</t>
  </si>
  <si>
    <t xml:space="preserve">iHerb_SING</t>
  </si>
  <si>
    <t xml:space="preserve">sg.iherb.com</t>
  </si>
  <si>
    <t xml:space="preserve">MothersWork_SING</t>
  </si>
  <si>
    <t xml:space="preserve">motherswork.com.sg</t>
  </si>
  <si>
    <t xml:space="preserve">PupsikStudio_SING</t>
  </si>
  <si>
    <t xml:space="preserve">pupsikstudio.com</t>
  </si>
  <si>
    <t xml:space="preserve">singapore.kinokuniya.com</t>
  </si>
  <si>
    <t xml:space="preserve">Toys R Us_SING</t>
  </si>
  <si>
    <t xml:space="preserve">toysrus.com.sg</t>
  </si>
  <si>
    <t xml:space="preserve">qisahn.com</t>
  </si>
  <si>
    <t xml:space="preserve">Opentrolley_SING</t>
  </si>
  <si>
    <t xml:space="preserve">opentrolley.com.sg</t>
  </si>
  <si>
    <t xml:space="preserve">Epttavm-TR</t>
  </si>
  <si>
    <t xml:space="preserve">pttavm.com</t>
  </si>
  <si>
    <t xml:space="preserve">CicekSepeti-TR</t>
  </si>
  <si>
    <t xml:space="preserve">ciceksepeti.com</t>
  </si>
  <si>
    <t xml:space="preserve">Bkmkitap-TR</t>
  </si>
  <si>
    <t xml:space="preserve">bkmkitap.com</t>
  </si>
  <si>
    <t xml:space="preserve">morhipo.com</t>
  </si>
  <si>
    <t xml:space="preserve">Turkcell-TR</t>
  </si>
  <si>
    <t xml:space="preserve">turkcell.com.tr</t>
  </si>
  <si>
    <t xml:space="preserve">www.kitap365.com/</t>
  </si>
  <si>
    <t xml:space="preserve">vestel.com.tr</t>
  </si>
  <si>
    <t xml:space="preserve">Avansas-TR</t>
  </si>
  <si>
    <t xml:space="preserve">avansas.com</t>
  </si>
  <si>
    <t xml:space="preserve">Dermoeczanem-TR</t>
  </si>
  <si>
    <t xml:space="preserve">dermoeczanem.com</t>
  </si>
  <si>
    <t xml:space="preserve">Evdeeczane-TR</t>
  </si>
  <si>
    <t xml:space="preserve">evdeeczane.com</t>
  </si>
  <si>
    <t xml:space="preserve">A101-TR</t>
  </si>
  <si>
    <t xml:space="preserve">a101.com.tr</t>
  </si>
  <si>
    <t xml:space="preserve">www.gundogdumobilya.com.tr</t>
  </si>
  <si>
    <t xml:space="preserve">Kidega-TR</t>
  </si>
  <si>
    <t xml:space="preserve">https://kidega.com/</t>
  </si>
  <si>
    <t xml:space="preserve">Birxy-TR</t>
  </si>
  <si>
    <t xml:space="preserve">www.birxy.com</t>
  </si>
  <si>
    <t xml:space="preserve">Mudo-TR</t>
  </si>
  <si>
    <t xml:space="preserve">mudo.com.tr</t>
  </si>
  <si>
    <t xml:space="preserve">Kitantik-TR</t>
  </si>
  <si>
    <t xml:space="preserve">www.kitantik.com</t>
  </si>
  <si>
    <t xml:space="preserve">Samsung-TR</t>
  </si>
  <si>
    <t xml:space="preserve">Kitapsec-TR</t>
  </si>
  <si>
    <t xml:space="preserve">kitapsec.com</t>
  </si>
  <si>
    <t xml:space="preserve">https://www.indekskitap.com/</t>
  </si>
  <si>
    <t xml:space="preserve">Benimhocam-TR</t>
  </si>
  <si>
    <t xml:space="preserve">https://benimhocam.com.tr/</t>
  </si>
  <si>
    <t xml:space="preserve">https://www.bkmkitap.com/</t>
  </si>
  <si>
    <t xml:space="preserve">Ebay-UK-tesco</t>
  </si>
  <si>
    <t xml:space="preserve">https://www.ebay.co.uk/sch/tesco</t>
  </si>
  <si>
    <t xml:space="preserve">Ebay-UK-Argos</t>
  </si>
  <si>
    <t xml:space="preserve">https://www.ebay.co.uk/usr/argos</t>
  </si>
  <si>
    <t xml:space="preserve">Ebay-UK-Halfords</t>
  </si>
  <si>
    <t xml:space="preserve">https://www.ebay.co.uk/usr/halfords_1</t>
  </si>
  <si>
    <t xml:space="preserve">Ebay-UK-Currys-PCworld</t>
  </si>
  <si>
    <t xml:space="preserve">https://www.ebay.co.uk/sch/currys_pcworld</t>
  </si>
  <si>
    <t xml:space="preserve">Ebay-UK-Very</t>
  </si>
  <si>
    <t xml:space="preserve">https://www.ebay.co.uk/sch/veryclearance/m.html</t>
  </si>
  <si>
    <t xml:space="preserve">Blackwell-bookshop</t>
  </si>
  <si>
    <t xml:space="preserve">blackwells.co.uk</t>
  </si>
  <si>
    <t xml:space="preserve">https://www.ebay.co.uk/usr/ebuyer_uk_ltd</t>
  </si>
  <si>
    <t xml:space="preserve">eBuyer</t>
  </si>
  <si>
    <t xml:space="preserve">ebuyer.com</t>
  </si>
  <si>
    <t xml:space="preserve">www.ebay.co.uk/usr/ao</t>
  </si>
  <si>
    <t xml:space="preserve">Ebay-UK-Spartoo</t>
  </si>
  <si>
    <t xml:space="preserve">www.ebay.co.uk/usr/spartoo_shop</t>
  </si>
  <si>
    <t xml:space="preserve">Ebay-UK-Tradeinn</t>
  </si>
  <si>
    <t xml:space="preserve">www.ebay.co.uk/usr/tradeinn_trekk</t>
  </si>
  <si>
    <t xml:space="preserve">WHSmith</t>
  </si>
  <si>
    <t xml:space="preserve">whsmith.co.uk</t>
  </si>
  <si>
    <t xml:space="preserve">Ebay-UK-Watchshop</t>
  </si>
  <si>
    <t xml:space="preserve">https://www.ebay.co.uk/usr/watchshop</t>
  </si>
  <si>
    <t xml:space="preserve">Wilkinson</t>
  </si>
  <si>
    <t xml:space="preserve">wilko.com</t>
  </si>
  <si>
    <t xml:space="preserve">Aliexpress-GB</t>
  </si>
  <si>
    <t xml:space="preserve">aliexpress.com</t>
  </si>
  <si>
    <t xml:space="preserve">HMVOnlineStore-UK</t>
  </si>
  <si>
    <t xml:space="preserve">store.hmv.com</t>
  </si>
  <si>
    <t xml:space="preserve">DIY</t>
  </si>
  <si>
    <t xml:space="preserve">diy.com</t>
  </si>
  <si>
    <t xml:space="preserve">hive.co.uk</t>
  </si>
  <si>
    <t xml:space="preserve">Next</t>
  </si>
  <si>
    <t xml:space="preserve">next.co.uk</t>
  </si>
  <si>
    <t xml:space="preserve">Smyths</t>
  </si>
  <si>
    <t xml:space="preserve">smythstoys.com</t>
  </si>
  <si>
    <t xml:space="preserve">Microsoftstore-UK</t>
  </si>
  <si>
    <t xml:space="preserve">Dunelm-Mill</t>
  </si>
  <si>
    <t xml:space="preserve">dunelm.com</t>
  </si>
  <si>
    <t xml:space="preserve">ShopBT-GB</t>
  </si>
  <si>
    <t xml:space="preserve">shop.bt.com</t>
  </si>
  <si>
    <t xml:space="preserve">Apple-UK</t>
  </si>
  <si>
    <t xml:space="preserve">Morrisons-UK</t>
  </si>
  <si>
    <t xml:space="preserve">groceries.morrisons.com</t>
  </si>
  <si>
    <t xml:space="preserve">Costco-UK</t>
  </si>
  <si>
    <t xml:space="preserve">costco.co.uk</t>
  </si>
  <si>
    <t xml:space="preserve">Screw Fix</t>
  </si>
  <si>
    <t xml:space="preserve">screwfix.com</t>
  </si>
  <si>
    <t xml:space="preserve">Theworks-UK</t>
  </si>
  <si>
    <t xml:space="preserve">theworks.co.uk</t>
  </si>
  <si>
    <t xml:space="preserve">MarksSpencer</t>
  </si>
  <si>
    <t xml:space="preserve">marksandspencer.com</t>
  </si>
  <si>
    <t xml:space="preserve">WaitroseDeliver</t>
  </si>
  <si>
    <t xml:space="preserve">waitrose.com</t>
  </si>
  <si>
    <t xml:space="preserve">The-Range-UK</t>
  </si>
  <si>
    <t xml:space="preserve">therange.co.uk</t>
  </si>
  <si>
    <t xml:space="preserve">SamsungUK</t>
  </si>
  <si>
    <t xml:space="preserve">Robert Dyas</t>
  </si>
  <si>
    <t xml:space="preserve">robertdyas.co.uk</t>
  </si>
  <si>
    <t xml:space="preserve">Halfords</t>
  </si>
  <si>
    <t xml:space="preserve">halfords.com</t>
  </si>
  <si>
    <t xml:space="preserve">Screwfix-GB</t>
  </si>
  <si>
    <t xml:space="preserve">Jaeger-UK</t>
  </si>
  <si>
    <t xml:space="preserve">jaeger.co.uk</t>
  </si>
  <si>
    <t xml:space="preserve">Houseoffraser</t>
  </si>
  <si>
    <t xml:space="preserve">houseoffraser.co.uk</t>
  </si>
  <si>
    <t xml:space="preserve">Aldi-UK</t>
  </si>
  <si>
    <t xml:space="preserve">aldi.co.uk</t>
  </si>
  <si>
    <t xml:space="preserve">Superdrug</t>
  </si>
  <si>
    <t xml:space="preserve">superdrug.com</t>
  </si>
  <si>
    <t xml:space="preserve">TKMaxx</t>
  </si>
  <si>
    <t xml:space="preserve">tkmaxx.com</t>
  </si>
  <si>
    <t xml:space="preserve">Selfridges</t>
  </si>
  <si>
    <t xml:space="preserve">selfridges.com</t>
  </si>
  <si>
    <t xml:space="preserve">JD Williams</t>
  </si>
  <si>
    <t xml:space="preserve">jdwilliams.co.uk</t>
  </si>
  <si>
    <t xml:space="preserve">Homebase</t>
  </si>
  <si>
    <t xml:space="preserve">homebase.co.uk</t>
  </si>
  <si>
    <t xml:space="preserve">Laptops-Direct</t>
  </si>
  <si>
    <t xml:space="preserve">laptopsdirect.co.uk</t>
  </si>
  <si>
    <t xml:space="preserve">Matalan</t>
  </si>
  <si>
    <t xml:space="preserve">matalan.co.uk</t>
  </si>
  <si>
    <t xml:space="preserve">VikingDirect</t>
  </si>
  <si>
    <t xml:space="preserve">viking-direct.co.uk</t>
  </si>
  <si>
    <t xml:space="preserve">Scan</t>
  </si>
  <si>
    <t xml:space="preserve">scan.co.uk</t>
  </si>
  <si>
    <t xml:space="preserve">hobbycraft.co.uk</t>
  </si>
  <si>
    <t xml:space="preserve">Looksfantastic</t>
  </si>
  <si>
    <t xml:space="preserve">lookfantastic.com</t>
  </si>
  <si>
    <t xml:space="preserve">Ryman</t>
  </si>
  <si>
    <t xml:space="preserve">ryman.co.uk</t>
  </si>
  <si>
    <t xml:space="preserve">Dolphin Fitness</t>
  </si>
  <si>
    <t xml:space="preserve">dolphinfitness.co.uk</t>
  </si>
  <si>
    <t xml:space="preserve">Ikea-UK</t>
  </si>
  <si>
    <t xml:space="preserve">Allbeauty-UK</t>
  </si>
  <si>
    <t xml:space="preserve">allbeauty.com</t>
  </si>
  <si>
    <t xml:space="preserve">Harrods-UK</t>
  </si>
  <si>
    <t xml:space="preserve">harrods.com</t>
  </si>
  <si>
    <t xml:space="preserve">SportsDirect</t>
  </si>
  <si>
    <t xml:space="preserve">sportsdirect.com</t>
  </si>
  <si>
    <t xml:space="preserve">notonthehighstreet-UK</t>
  </si>
  <si>
    <t xml:space="preserve">notonthehighstreet.com</t>
  </si>
  <si>
    <t xml:space="preserve">Disney-UK</t>
  </si>
  <si>
    <t xml:space="preserve">shopdisney.co.uk</t>
  </si>
  <si>
    <t xml:space="preserve">AppliancesDirect</t>
  </si>
  <si>
    <t xml:space="preserve">appliancesdirect.co.uk</t>
  </si>
  <si>
    <t xml:space="preserve">EE</t>
  </si>
  <si>
    <t xml:space="preserve">ee.co.uk</t>
  </si>
  <si>
    <t xml:space="preserve">Tedbaker-UK</t>
  </si>
  <si>
    <t xml:space="preserve">tedbaker.com</t>
  </si>
  <si>
    <t xml:space="preserve">FeelUnique</t>
  </si>
  <si>
    <t xml:space="preserve">feelunique.com</t>
  </si>
  <si>
    <t xml:space="preserve">FFX-UK</t>
  </si>
  <si>
    <t xml:space="preserve">ffx.co.uk</t>
  </si>
  <si>
    <t xml:space="preserve">Jdsports</t>
  </si>
  <si>
    <t xml:space="preserve">jdsports.co.uk</t>
  </si>
  <si>
    <t xml:space="preserve">Toolstation</t>
  </si>
  <si>
    <t xml:space="preserve">toolstation.com</t>
  </si>
  <si>
    <t xml:space="preserve">HugoBoss-GB</t>
  </si>
  <si>
    <t xml:space="preserve">hugoboss.com</t>
  </si>
  <si>
    <t xml:space="preserve">Boohoo-UK</t>
  </si>
  <si>
    <t xml:space="preserve">boohoo.com</t>
  </si>
  <si>
    <t xml:space="preserve">Zavvi</t>
  </si>
  <si>
    <t xml:space="preserve">zavvi.com</t>
  </si>
  <si>
    <t xml:space="preserve">Wickes-UK</t>
  </si>
  <si>
    <t xml:space="preserve">wickes.co.uk</t>
  </si>
  <si>
    <t xml:space="preserve">lloydspharmacy</t>
  </si>
  <si>
    <t xml:space="preserve">lloydspharmacy.com</t>
  </si>
  <si>
    <t xml:space="preserve">Vodafone-UK</t>
  </si>
  <si>
    <t xml:space="preserve">vodafone.co.uk</t>
  </si>
  <si>
    <t xml:space="preserve">DFS-UK</t>
  </si>
  <si>
    <t xml:space="preserve">dfs.co.uk</t>
  </si>
  <si>
    <t xml:space="preserve">Fragrancedirect</t>
  </si>
  <si>
    <t xml:space="preserve">fragrancedirect.co.uk</t>
  </si>
  <si>
    <t xml:space="preserve">VictorianPlumbing-UK</t>
  </si>
  <si>
    <t xml:space="preserve">victorianplumbing.co.uk</t>
  </si>
  <si>
    <t xml:space="preserve">Game</t>
  </si>
  <si>
    <t xml:space="preserve">game.co.uk</t>
  </si>
  <si>
    <t xml:space="preserve">Lakeland Limited</t>
  </si>
  <si>
    <t xml:space="preserve">lakeland.co.uk</t>
  </si>
  <si>
    <t xml:space="preserve">BoxUK</t>
  </si>
  <si>
    <t xml:space="preserve">box.co.uk</t>
  </si>
  <si>
    <t xml:space="preserve">Adidas-UK</t>
  </si>
  <si>
    <t xml:space="preserve">adidas.co.uk</t>
  </si>
  <si>
    <t xml:space="preserve">Viovet-UK</t>
  </si>
  <si>
    <t xml:space="preserve">viovet.co.uk</t>
  </si>
  <si>
    <t xml:space="preserve">Made-UK</t>
  </si>
  <si>
    <t xml:space="preserve">made.com</t>
  </si>
  <si>
    <t xml:space="preserve">Hollandandbarrett</t>
  </si>
  <si>
    <t xml:space="preserve">hollandandbarrett.com</t>
  </si>
  <si>
    <t xml:space="preserve">Partydelights-UK</t>
  </si>
  <si>
    <t xml:space="preserve">partydelights.co.uk</t>
  </si>
  <si>
    <t xml:space="preserve">Nike-UK</t>
  </si>
  <si>
    <t xml:space="preserve">Oakfurnitureland-UK</t>
  </si>
  <si>
    <t xml:space="preserve">oakfurnitureland.co.uk</t>
  </si>
  <si>
    <t xml:space="preserve">Three</t>
  </si>
  <si>
    <t xml:space="preserve">three.co.uk</t>
  </si>
  <si>
    <t xml:space="preserve">Pet Sathome</t>
  </si>
  <si>
    <t xml:space="preserve">petsathome.com</t>
  </si>
  <si>
    <t xml:space="preserve">Net-a-Porter</t>
  </si>
  <si>
    <t xml:space="preserve">net-a-porter.com</t>
  </si>
  <si>
    <t xml:space="preserve">zooplusUK</t>
  </si>
  <si>
    <t xml:space="preserve">zooplus.co.uk</t>
  </si>
  <si>
    <t xml:space="preserve">CalvinKlein-UK</t>
  </si>
  <si>
    <t xml:space="preserve">calvinklein.co.uk</t>
  </si>
  <si>
    <t xml:space="preserve">Wiggle</t>
  </si>
  <si>
    <t xml:space="preserve">wiggle.co.uk</t>
  </si>
  <si>
    <t xml:space="preserve">CarPhoneWarehouse</t>
  </si>
  <si>
    <t xml:space="preserve">carphonewarehouse.com</t>
  </si>
  <si>
    <t xml:space="preserve">The Entertainer</t>
  </si>
  <si>
    <t xml:space="preserve">thetoyshop.com</t>
  </si>
  <si>
    <t xml:space="preserve">FurnitureVillage-GB</t>
  </si>
  <si>
    <t xml:space="preserve">furniturevillage.co.uk</t>
  </si>
  <si>
    <t xml:space="preserve">Mandmdirect</t>
  </si>
  <si>
    <t xml:space="preserve">mandmdirect.com</t>
  </si>
  <si>
    <t xml:space="preserve">Iceland-UK</t>
  </si>
  <si>
    <t xml:space="preserve">iceland.co.uk</t>
  </si>
  <si>
    <t xml:space="preserve">Footasylum-UK</t>
  </si>
  <si>
    <t xml:space="preserve">footasylum.com</t>
  </si>
  <si>
    <t xml:space="preserve">Toolstop</t>
  </si>
  <si>
    <t xml:space="preserve">toolstop.co.uk</t>
  </si>
  <si>
    <t xml:space="preserve">Simplybe-UK</t>
  </si>
  <si>
    <t xml:space="preserve">simplybe.co.uk</t>
  </si>
  <si>
    <t xml:space="preserve">Newlook-UK</t>
  </si>
  <si>
    <t xml:space="preserve">newlook.com</t>
  </si>
  <si>
    <t xml:space="preserve">Mountainwarehouse-UK</t>
  </si>
  <si>
    <t xml:space="preserve">https://www.mountainwarehouse.com/</t>
  </si>
  <si>
    <t xml:space="preserve">masterofmalt.com</t>
  </si>
  <si>
    <t xml:space="preserve">HP</t>
  </si>
  <si>
    <t xml:space="preserve">HSamuel</t>
  </si>
  <si>
    <t xml:space="preserve">hsamuel.co.uk</t>
  </si>
  <si>
    <t xml:space="preserve">GoOutDoors</t>
  </si>
  <si>
    <t xml:space="preserve">gooutdoors.co.uk</t>
  </si>
  <si>
    <t xml:space="preserve">Dreams-UK</t>
  </si>
  <si>
    <t xml:space="preserve">dreams.co.uk</t>
  </si>
  <si>
    <t xml:space="preserve">Overclockers</t>
  </si>
  <si>
    <t xml:space="preserve">overclockers.co.uk</t>
  </si>
  <si>
    <t xml:space="preserve">Machinemart</t>
  </si>
  <si>
    <t xml:space="preserve">machinemart.co.uk</t>
  </si>
  <si>
    <t xml:space="preserve">PowertoolWorld</t>
  </si>
  <si>
    <t xml:space="preserve">powertoolworld.co.uk</t>
  </si>
  <si>
    <t xml:space="preserve">Lego-UK</t>
  </si>
  <si>
    <t xml:space="preserve">Jojomamanbebe-GB</t>
  </si>
  <si>
    <t xml:space="preserve">jojomamanbebe.co.uk</t>
  </si>
  <si>
    <t xml:space="preserve">Alza-UK</t>
  </si>
  <si>
    <t xml:space="preserve">alza.co.uk</t>
  </si>
  <si>
    <t xml:space="preserve">Lovehoney</t>
  </si>
  <si>
    <t xml:space="preserve">lovehoney.co.uk</t>
  </si>
  <si>
    <t xml:space="preserve">Footlocker-UK</t>
  </si>
  <si>
    <t xml:space="preserve">footlocker.co.uk</t>
  </si>
  <si>
    <t xml:space="preserve">Blacks</t>
  </si>
  <si>
    <t xml:space="preserve">blacks.co.uk</t>
  </si>
  <si>
    <t xml:space="preserve">CotswoldOutdoor</t>
  </si>
  <si>
    <t xml:space="preserve">cotswoldoutdoor.com</t>
  </si>
  <si>
    <t xml:space="preserve">SportsShoes</t>
  </si>
  <si>
    <t xml:space="preserve">sportsshoes.com</t>
  </si>
  <si>
    <t xml:space="preserve">Theperfumeshop</t>
  </si>
  <si>
    <t xml:space="preserve">theperfumeshop.com</t>
  </si>
  <si>
    <t xml:space="preserve">DorothyPerkins-UK</t>
  </si>
  <si>
    <t xml:space="preserve">dorothyperkins.com</t>
  </si>
  <si>
    <t xml:space="preserve">Annsummers-UK</t>
  </si>
  <si>
    <t xml:space="preserve">annsummers.com</t>
  </si>
  <si>
    <t xml:space="preserve">victoriaplum.com</t>
  </si>
  <si>
    <t xml:space="preserve">Hughesdirect</t>
  </si>
  <si>
    <t xml:space="preserve">hughes.co.uk</t>
  </si>
  <si>
    <t xml:space="preserve">Under Armour</t>
  </si>
  <si>
    <t xml:space="preserve">underarmour.co.uk</t>
  </si>
  <si>
    <t xml:space="preserve">LaRedoute-UK</t>
  </si>
  <si>
    <t xml:space="preserve">laredoute.co.uk</t>
  </si>
  <si>
    <t xml:space="preserve">Vans</t>
  </si>
  <si>
    <t xml:space="preserve">vans.co.uk</t>
  </si>
  <si>
    <t xml:space="preserve">Jacamo-UK</t>
  </si>
  <si>
    <t xml:space="preserve">jacamo.co.uk</t>
  </si>
  <si>
    <t xml:space="preserve">Thefragranceshop</t>
  </si>
  <si>
    <t xml:space="preserve">thefragranceshop.co.uk</t>
  </si>
  <si>
    <t xml:space="preserve">Reebok-UK</t>
  </si>
  <si>
    <t xml:space="preserve">reebok.co.uk</t>
  </si>
  <si>
    <t xml:space="preserve">Farfetch-GB</t>
  </si>
  <si>
    <t xml:space="preserve">farfetch.com</t>
  </si>
  <si>
    <t xml:space="preserve">Plumbnation</t>
  </si>
  <si>
    <t xml:space="preserve">plumbnation.co.uk</t>
  </si>
  <si>
    <t xml:space="preserve">Newbalance-UK</t>
  </si>
  <si>
    <t xml:space="preserve">newbalance.co.uk</t>
  </si>
  <si>
    <t xml:space="preserve">Schuh</t>
  </si>
  <si>
    <t xml:space="preserve">schuh.co.uk</t>
  </si>
  <si>
    <t xml:space="preserve">CultBeauty_UK</t>
  </si>
  <si>
    <t xml:space="preserve">cultbeauty.co.uk</t>
  </si>
  <si>
    <t xml:space="preserve">Furniture123-UK</t>
  </si>
  <si>
    <t xml:space="preserve">furniture123.co.uk</t>
  </si>
  <si>
    <t xml:space="preserve">Lowes</t>
  </si>
  <si>
    <t xml:space="preserve">lowes.com</t>
  </si>
  <si>
    <t xml:space="preserve">BedBathBeyond</t>
  </si>
  <si>
    <t xml:space="preserve">bedbathandbeyond.com</t>
  </si>
  <si>
    <t xml:space="preserve">Kohls</t>
  </si>
  <si>
    <t xml:space="preserve">kohls.com</t>
  </si>
  <si>
    <t xml:space="preserve">OverStock</t>
  </si>
  <si>
    <t xml:space="preserve">overstock.com</t>
  </si>
  <si>
    <t xml:space="preserve">Sears</t>
  </si>
  <si>
    <t xml:space="preserve">sears.com</t>
  </si>
  <si>
    <t xml:space="preserve">Newegg</t>
  </si>
  <si>
    <t xml:space="preserve">newegg.com</t>
  </si>
  <si>
    <t xml:space="preserve">Staples-US</t>
  </si>
  <si>
    <t xml:space="preserve">staples.com</t>
  </si>
  <si>
    <t xml:space="preserve">Walgreens</t>
  </si>
  <si>
    <t xml:space="preserve">walgreens.com</t>
  </si>
  <si>
    <t xml:space="preserve">Etsy-US</t>
  </si>
  <si>
    <t xml:space="preserve">etsy.com</t>
  </si>
  <si>
    <t xml:space="preserve">Grainger</t>
  </si>
  <si>
    <t xml:space="preserve">grainger.com</t>
  </si>
  <si>
    <t xml:space="preserve">SheIn-US</t>
  </si>
  <si>
    <t xml:space="preserve">us.shein.com/</t>
  </si>
  <si>
    <t xml:space="preserve">Applestore</t>
  </si>
  <si>
    <t xml:space="preserve">cvs.com</t>
  </si>
  <si>
    <t xml:space="preserve">OfficeDepot</t>
  </si>
  <si>
    <t xml:space="preserve">officedepot.com</t>
  </si>
  <si>
    <t xml:space="preserve">Bhphotovideo</t>
  </si>
  <si>
    <t xml:space="preserve">bhphotovideo.com</t>
  </si>
  <si>
    <t xml:space="preserve">Menards</t>
  </si>
  <si>
    <t xml:space="preserve">menards.com</t>
  </si>
  <si>
    <t xml:space="preserve">Barnes and Noble</t>
  </si>
  <si>
    <t xml:space="preserve">barnesandnoble.com</t>
  </si>
  <si>
    <t xml:space="preserve">Gucci-US</t>
  </si>
  <si>
    <t xml:space="preserve">www.gucci.com/us/home</t>
  </si>
  <si>
    <t xml:space="preserve">NewEggBusiness</t>
  </si>
  <si>
    <t xml:space="preserve">neweggbusiness.com</t>
  </si>
  <si>
    <t xml:space="preserve">Att-US</t>
  </si>
  <si>
    <t xml:space="preserve">https://www.att.com/</t>
  </si>
  <si>
    <t xml:space="preserve">Anthropologie</t>
  </si>
  <si>
    <t xml:space="preserve">anthropologie.com</t>
  </si>
  <si>
    <t xml:space="preserve">Microsoft-US</t>
  </si>
  <si>
    <t xml:space="preserve">Disney</t>
  </si>
  <si>
    <t xml:space="preserve">shopdisney.com</t>
  </si>
  <si>
    <t xml:space="preserve">Samsung</t>
  </si>
  <si>
    <t xml:space="preserve">Zorotools</t>
  </si>
  <si>
    <t xml:space="preserve">zoro.com</t>
  </si>
  <si>
    <t xml:space="preserve">Belk</t>
  </si>
  <si>
    <t xml:space="preserve">belk.com</t>
  </si>
  <si>
    <t xml:space="preserve">Ikea-US</t>
  </si>
  <si>
    <t xml:space="preserve">REI</t>
  </si>
  <si>
    <t xml:space="preserve">rei.com</t>
  </si>
  <si>
    <t xml:space="preserve">HSN</t>
  </si>
  <si>
    <t xml:space="preserve">hsn.com</t>
  </si>
  <si>
    <t xml:space="preserve">Dillards</t>
  </si>
  <si>
    <t xml:space="preserve">dillards.com</t>
  </si>
  <si>
    <t xml:space="preserve">Dick_s</t>
  </si>
  <si>
    <t xml:space="preserve">dickssportinggoods.com</t>
  </si>
  <si>
    <t xml:space="preserve">CostcoBusinessDelivery</t>
  </si>
  <si>
    <t xml:space="preserve">costcobusinessdelivery.com</t>
  </si>
  <si>
    <t xml:space="preserve">QVC</t>
  </si>
  <si>
    <t xml:space="preserve">qvc.com</t>
  </si>
  <si>
    <t xml:space="preserve">Houzz</t>
  </si>
  <si>
    <t xml:space="preserve">houzz.com</t>
  </si>
  <si>
    <t xml:space="preserve">Bloomingdales</t>
  </si>
  <si>
    <t xml:space="preserve">bloomingdales.com</t>
  </si>
  <si>
    <t xml:space="preserve">Academy</t>
  </si>
  <si>
    <t xml:space="preserve">academy.com</t>
  </si>
  <si>
    <t xml:space="preserve">Cabelas</t>
  </si>
  <si>
    <t xml:space="preserve">cabelas.com</t>
  </si>
  <si>
    <t xml:space="preserve">Gap-US</t>
  </si>
  <si>
    <t xml:space="preserve">gap.com</t>
  </si>
  <si>
    <t xml:space="preserve">Instacart-SAT</t>
  </si>
  <si>
    <t xml:space="preserve">instacart.com</t>
  </si>
  <si>
    <t xml:space="preserve">BJsWholesale</t>
  </si>
  <si>
    <t xml:space="preserve">bjs.com</t>
  </si>
  <si>
    <t xml:space="preserve">TractorSupply</t>
  </si>
  <si>
    <t xml:space="preserve">tractorsupply.com</t>
  </si>
  <si>
    <t xml:space="preserve">Hottopic</t>
  </si>
  <si>
    <t xml:space="preserve">hottopic.com</t>
  </si>
  <si>
    <t xml:space="preserve">Williams-sonoma</t>
  </si>
  <si>
    <t xml:space="preserve">williams-sonoma.com</t>
  </si>
  <si>
    <t xml:space="preserve">Nike-US</t>
  </si>
  <si>
    <t xml:space="preserve">BuyBuyBaby</t>
  </si>
  <si>
    <t xml:space="preserve">buybuybaby.com</t>
  </si>
  <si>
    <t xml:space="preserve">LLBean</t>
  </si>
  <si>
    <t xml:space="preserve">llbean.com</t>
  </si>
  <si>
    <t xml:space="preserve">Kroger</t>
  </si>
  <si>
    <t xml:space="preserve">kroger.com</t>
  </si>
  <si>
    <t xml:space="preserve">PotteryBarn</t>
  </si>
  <si>
    <t xml:space="preserve">potterybarn.com</t>
  </si>
  <si>
    <t xml:space="preserve">BathandBodyWorks-US</t>
  </si>
  <si>
    <t xml:space="preserve">bathandbodyworks.com</t>
  </si>
  <si>
    <t xml:space="preserve">Allmodern</t>
  </si>
  <si>
    <t xml:space="preserve">allmodern.com</t>
  </si>
  <si>
    <t xml:space="preserve">Katespade-US</t>
  </si>
  <si>
    <t xml:space="preserve">katespade.com</t>
  </si>
  <si>
    <t xml:space="preserve">GameStop</t>
  </si>
  <si>
    <t xml:space="preserve">gamestop.com</t>
  </si>
  <si>
    <t xml:space="preserve">AppliancesConnection</t>
  </si>
  <si>
    <t xml:space="preserve">appliancesconnection.com</t>
  </si>
  <si>
    <t xml:space="preserve">Build.com</t>
  </si>
  <si>
    <t xml:space="preserve">build.com</t>
  </si>
  <si>
    <t xml:space="preserve">OpticsPlanet</t>
  </si>
  <si>
    <t xml:space="preserve">opticsplanet.com</t>
  </si>
  <si>
    <t xml:space="preserve">Saks</t>
  </si>
  <si>
    <t xml:space="preserve">saksfifthavenue.com</t>
  </si>
  <si>
    <t xml:space="preserve">FootLocker</t>
  </si>
  <si>
    <t xml:space="preserve">footlocker.com</t>
  </si>
  <si>
    <t xml:space="preserve">Finishline</t>
  </si>
  <si>
    <t xml:space="preserve">finishline.com</t>
  </si>
  <si>
    <t xml:space="preserve">VictoriasSecret</t>
  </si>
  <si>
    <t xml:space="preserve">victoriassecret.com</t>
  </si>
  <si>
    <t xml:space="preserve">AshleyFurniture-US</t>
  </si>
  <si>
    <t xml:space="preserve">ashleyfurniture.com</t>
  </si>
  <si>
    <t xml:space="preserve">AceHardware</t>
  </si>
  <si>
    <t xml:space="preserve">acehardware.com</t>
  </si>
  <si>
    <t xml:space="preserve">Vans-US</t>
  </si>
  <si>
    <t xml:space="preserve">https://www.vans.com/en-us</t>
  </si>
  <si>
    <t xml:space="preserve">Crateandbarrel</t>
  </si>
  <si>
    <t xml:space="preserve">crateandbarrel.com</t>
  </si>
  <si>
    <t xml:space="preserve">Adidas</t>
  </si>
  <si>
    <t xml:space="preserve">adidas.com</t>
  </si>
  <si>
    <t xml:space="preserve">VeraBradley</t>
  </si>
  <si>
    <t xml:space="preserve">verabradley.com</t>
  </si>
  <si>
    <t xml:space="preserve">RiteAid</t>
  </si>
  <si>
    <t xml:space="preserve">riteaid.com</t>
  </si>
  <si>
    <t xml:space="preserve">UnderArmour-US</t>
  </si>
  <si>
    <t xml:space="preserve">underarmour.com</t>
  </si>
  <si>
    <t xml:space="preserve">Ulta</t>
  </si>
  <si>
    <t xml:space="preserve">ulta.com</t>
  </si>
  <si>
    <t xml:space="preserve">UGG-US</t>
  </si>
  <si>
    <t xml:space="preserve">ugg.com</t>
  </si>
  <si>
    <t xml:space="preserve">vitacost.com</t>
  </si>
  <si>
    <t xml:space="preserve">CDW</t>
  </si>
  <si>
    <t xml:space="preserve">cdw.com</t>
  </si>
  <si>
    <t xml:space="preserve">Asos-US</t>
  </si>
  <si>
    <t xml:space="preserve">Backcountry</t>
  </si>
  <si>
    <t xml:space="preserve">backcountry.com</t>
  </si>
  <si>
    <t xml:space="preserve">UrbanOutfitters</t>
  </si>
  <si>
    <t xml:space="preserve">urbanoutfitters.com</t>
  </si>
  <si>
    <t xml:space="preserve">Columbia</t>
  </si>
  <si>
    <t xml:space="preserve">columbia.com</t>
  </si>
  <si>
    <t xml:space="preserve">Adorama</t>
  </si>
  <si>
    <t xml:space="preserve">adorama.com</t>
  </si>
  <si>
    <t xml:space="preserve">Moosejaw</t>
  </si>
  <si>
    <t xml:space="preserve">moosejaw.com</t>
  </si>
  <si>
    <t xml:space="preserve">Vitamin Shoppe</t>
  </si>
  <si>
    <t xml:space="preserve">vitaminshoppe.com</t>
  </si>
  <si>
    <t xml:space="preserve">Chegg-Retail</t>
  </si>
  <si>
    <t xml:space="preserve">chegg.com</t>
  </si>
  <si>
    <t xml:space="preserve">NorthernTool</t>
  </si>
  <si>
    <t xml:space="preserve">northerntool.com</t>
  </si>
  <si>
    <t xml:space="preserve">PetSmart</t>
  </si>
  <si>
    <t xml:space="preserve">petsmart.com</t>
  </si>
  <si>
    <t xml:space="preserve">Farfetch-US</t>
  </si>
  <si>
    <t xml:space="preserve">RandomHouse-US</t>
  </si>
  <si>
    <t xml:space="preserve">penguinrandomhouse.com</t>
  </si>
  <si>
    <t xml:space="preserve">Puma</t>
  </si>
  <si>
    <t xml:space="preserve">us.puma.com</t>
  </si>
  <si>
    <t xml:space="preserve">bathbodyworks</t>
  </si>
  <si>
    <t xml:space="preserve">https://www.bathandbodyworks.com/</t>
  </si>
  <si>
    <t xml:space="preserve">Sallybeauty-US</t>
  </si>
  <si>
    <t xml:space="preserve">sallybeauty.com</t>
  </si>
  <si>
    <t xml:space="preserve">H&amp;M</t>
  </si>
  <si>
    <t xml:space="preserve">hm.com</t>
  </si>
  <si>
    <t xml:space="preserve">HarborFreight</t>
  </si>
  <si>
    <t xml:space="preserve">harborfreight.com</t>
  </si>
  <si>
    <t xml:space="preserve">Tillys</t>
  </si>
  <si>
    <t xml:space="preserve">tillys.com</t>
  </si>
  <si>
    <t xml:space="preserve">NewBalance</t>
  </si>
  <si>
    <t xml:space="preserve">newbalance.com</t>
  </si>
  <si>
    <t xml:space="preserve">DollarGeneral</t>
  </si>
  <si>
    <t xml:space="preserve">dollargeneral.com</t>
  </si>
  <si>
    <t xml:space="preserve">LG</t>
  </si>
  <si>
    <t xml:space="preserve">Hibbett-US</t>
  </si>
  <si>
    <t xml:space="preserve">hibbett.com</t>
  </si>
  <si>
    <t xml:space="preserve">Petco</t>
  </si>
  <si>
    <t xml:space="preserve">petco.com</t>
  </si>
  <si>
    <t xml:space="preserve">GNC</t>
  </si>
  <si>
    <t xml:space="preserve">gnc.com</t>
  </si>
  <si>
    <t xml:space="preserve">Madewell</t>
  </si>
  <si>
    <t xml:space="preserve">madewell.com</t>
  </si>
  <si>
    <t xml:space="preserve">LuckyVitamin</t>
  </si>
  <si>
    <t xml:space="preserve">luckyvitamin.com</t>
  </si>
  <si>
    <t xml:space="preserve">Wiley-US</t>
  </si>
  <si>
    <t xml:space="preserve">https://www.wiley.com/en-us</t>
  </si>
  <si>
    <t xml:space="preserve">Reebok-US</t>
  </si>
  <si>
    <t xml:space="preserve">reebok.com</t>
  </si>
  <si>
    <t xml:space="preserve">PacSun</t>
  </si>
  <si>
    <t xml:space="preserve">pacsun.com</t>
  </si>
  <si>
    <t xml:space="preserve">AlbeeBaby</t>
  </si>
  <si>
    <t xml:space="preserve">albeebaby.com</t>
  </si>
  <si>
    <t xml:space="preserve">Skechers-US</t>
  </si>
  <si>
    <t xml:space="preserve">skechers.com</t>
  </si>
  <si>
    <t xml:space="preserve">Neiman Marcus</t>
  </si>
  <si>
    <t xml:space="preserve">neimanmarcus.com</t>
  </si>
  <si>
    <t xml:space="preserve">ShoeMall</t>
  </si>
  <si>
    <t xml:space="preserve">shoemall.com</t>
  </si>
  <si>
    <t xml:space="preserve">hewlett packard</t>
  </si>
  <si>
    <t xml:space="preserve">www.hp.com</t>
  </si>
  <si>
    <t xml:space="preserve">zinus</t>
  </si>
  <si>
    <t xml:space="preserve">www.zinus.com</t>
  </si>
  <si>
    <t xml:space="preserve">ninja-US</t>
  </si>
  <si>
    <t xml:space="preserve">https://www.ninjakitchen.com/</t>
  </si>
  <si>
    <t xml:space="preserve">Sharkclean-US</t>
  </si>
  <si>
    <t xml:space="preserve">https://www.sharkclean.com/ </t>
  </si>
  <si>
    <t xml:space="preserve">westerndigital-US</t>
  </si>
  <si>
    <t xml:space="preserve">https://www.westerndigital.com/</t>
  </si>
  <si>
    <t xml:space="preserve">logitech</t>
  </si>
  <si>
    <t xml:space="preserve">www.logitech.com/index.cfm/home/&amp;cl=fr%2Cfr</t>
  </si>
  <si>
    <t xml:space="preserve">hanes</t>
  </si>
  <si>
    <t xml:space="preserve">https://www.hanesbrandsinc.jp/hanes/r/r101010/</t>
  </si>
  <si>
    <t xml:space="preserve">levis-US</t>
  </si>
  <si>
    <t xml:space="preserve">https://www.levi.com/US/en_US/</t>
  </si>
  <si>
    <t xml:space="preserve">wrangler</t>
  </si>
  <si>
    <t xml:space="preserve">https://www.wrangler.com/shop/</t>
  </si>
  <si>
    <t xml:space="preserve">lee</t>
  </si>
  <si>
    <t xml:space="preserve">www.lee.com</t>
  </si>
  <si>
    <t xml:space="preserve">adidas</t>
  </si>
  <si>
    <t xml:space="preserve">https://www.adidas.com/us</t>
  </si>
  <si>
    <t xml:space="preserve">skechers-US</t>
  </si>
  <si>
    <t xml:space="preserve">https://www.skechers.com/en-us/</t>
  </si>
  <si>
    <t xml:space="preserve">vans</t>
  </si>
  <si>
    <t xml:space="preserve">graco-US</t>
  </si>
  <si>
    <t xml:space="preserve">gracobaby.com</t>
  </si>
  <si>
    <t xml:space="preserve">Fitbit.com</t>
  </si>
  <si>
    <t xml:space="preserve">https://www.fitbit.com/</t>
  </si>
  <si>
    <t xml:space="preserve">vtech-US</t>
  </si>
  <si>
    <t xml:space="preserve">www.vtechphones.com</t>
  </si>
  <si>
    <t xml:space="preserve">maybellinenewyork-US</t>
  </si>
  <si>
    <t xml:space="preserve">https://www.maybelline.com/</t>
  </si>
  <si>
    <t xml:space="preserve">gerber-US</t>
  </si>
  <si>
    <t xml:space="preserve">https://www.gerbergear.com/en-us</t>
  </si>
  <si>
    <t xml:space="preserve">nowfoods-US</t>
  </si>
  <si>
    <t xml:space="preserve">https://www.nowfoods.com/</t>
  </si>
  <si>
    <t xml:space="preserve">DSW</t>
  </si>
  <si>
    <t xml:space="preserve">https://www.dsw.com/en/us/</t>
  </si>
  <si>
    <t xml:space="preserve">FCMoto-DE</t>
  </si>
  <si>
    <t xml:space="preserve">fc-moto.de</t>
  </si>
  <si>
    <t xml:space="preserve">Deichmann-DE</t>
  </si>
  <si>
    <t xml:space="preserve">deichmann.com</t>
  </si>
  <si>
    <t xml:space="preserve">Diesel-DE</t>
  </si>
  <si>
    <t xml:space="preserve">de.diesel.com</t>
  </si>
  <si>
    <t xml:space="preserve">fressnapf.de</t>
  </si>
  <si>
    <t xml:space="preserve">Carhartt-DE</t>
  </si>
  <si>
    <t xml:space="preserve">carhartt.com</t>
  </si>
  <si>
    <t xml:space="preserve">PKWteile_DE</t>
  </si>
  <si>
    <t xml:space="preserve">pkwteile.de</t>
  </si>
  <si>
    <t xml:space="preserve">Vangraaf-DE</t>
  </si>
  <si>
    <t xml:space="preserve">https://www.vangraaf.com/de/</t>
  </si>
  <si>
    <t xml:space="preserve">ONLY-DE</t>
  </si>
  <si>
    <t xml:space="preserve">only.com</t>
  </si>
  <si>
    <t xml:space="preserve">S-Oliver-Shop</t>
  </si>
  <si>
    <t xml:space="preserve">soliver.de</t>
  </si>
  <si>
    <t xml:space="preserve">Armani-DE</t>
  </si>
  <si>
    <t xml:space="preserve">Nu3-DE</t>
  </si>
  <si>
    <t xml:space="preserve">nu3.de</t>
  </si>
  <si>
    <t xml:space="preserve">notino.de</t>
  </si>
  <si>
    <t xml:space="preserve">Edeka24</t>
  </si>
  <si>
    <t xml:space="preserve">edeka24.de</t>
  </si>
  <si>
    <t xml:space="preserve">Mytime.de</t>
  </si>
  <si>
    <t xml:space="preserve">mytime.de</t>
  </si>
  <si>
    <t xml:space="preserve">Noon-AE</t>
  </si>
  <si>
    <t xml:space="preserve">noon.com</t>
  </si>
  <si>
    <t xml:space="preserve">Carrefour-AE</t>
  </si>
  <si>
    <t xml:space="preserve">carrefouruae.com</t>
  </si>
  <si>
    <t xml:space="preserve">Lulu-AE</t>
  </si>
  <si>
    <t xml:space="preserve">luluhypermarket.com</t>
  </si>
  <si>
    <t xml:space="preserve">uae.sharafdg.com</t>
  </si>
  <si>
    <t xml:space="preserve">mumzworld.com</t>
  </si>
  <si>
    <t xml:space="preserve">en-ae.namshi.com</t>
  </si>
  <si>
    <t xml:space="preserve">Ebay-AU</t>
  </si>
  <si>
    <t xml:space="preserve">https://www.ebay.com.au/</t>
  </si>
  <si>
    <t xml:space="preserve">BigW-AU</t>
  </si>
  <si>
    <t xml:space="preserve">bigw.com.au</t>
  </si>
  <si>
    <t xml:space="preserve">Catch of the Day</t>
  </si>
  <si>
    <t xml:space="preserve">catch.com.au</t>
  </si>
  <si>
    <t xml:space="preserve">Woolworths-AU</t>
  </si>
  <si>
    <t xml:space="preserve">woolworths.com.au</t>
  </si>
  <si>
    <t xml:space="preserve">jbhifi.com.au</t>
  </si>
  <si>
    <t xml:space="preserve">Americanas-BR</t>
  </si>
  <si>
    <t xml:space="preserve">https://www.americanas.com.br/</t>
  </si>
  <si>
    <t xml:space="preserve">MagazineLuiza-BR</t>
  </si>
  <si>
    <t xml:space="preserve">https://www.magazineluiza.com.br/</t>
  </si>
  <si>
    <t xml:space="preserve">Submarino-BR</t>
  </si>
  <si>
    <t xml:space="preserve">https://www.submarino.com.br/</t>
  </si>
  <si>
    <t xml:space="preserve">Walmart-CA-Online</t>
  </si>
  <si>
    <t xml:space="preserve">walmart.ca</t>
  </si>
  <si>
    <t xml:space="preserve">BestBuy-CA</t>
  </si>
  <si>
    <t xml:space="preserve">bestbuy.ca</t>
  </si>
  <si>
    <t xml:space="preserve">Walmart-CA-Grocery</t>
  </si>
  <si>
    <t xml:space="preserve">CanadianTire</t>
  </si>
  <si>
    <t xml:space="preserve">canadiantire.ca</t>
  </si>
  <si>
    <t xml:space="preserve">Costco-CA</t>
  </si>
  <si>
    <t xml:space="preserve">costco.ca</t>
  </si>
  <si>
    <t xml:space="preserve">Homedepot-CA</t>
  </si>
  <si>
    <t xml:space="preserve">homedepot.ca</t>
  </si>
  <si>
    <t xml:space="preserve">TheBay</t>
  </si>
  <si>
    <t xml:space="preserve">thebay.com</t>
  </si>
  <si>
    <t xml:space="preserve">Wayfair-Canada</t>
  </si>
  <si>
    <t xml:space="preserve">wayfair.ca</t>
  </si>
  <si>
    <t xml:space="preserve">PetSmart-CA</t>
  </si>
  <si>
    <t xml:space="preserve">petsmart.ca</t>
  </si>
  <si>
    <t xml:space="preserve">Otto</t>
  </si>
  <si>
    <t xml:space="preserve">https://www.otto.de/</t>
  </si>
  <si>
    <t xml:space="preserve">Media Markt</t>
  </si>
  <si>
    <t xml:space="preserve">https://www.mediamarkt.de/</t>
  </si>
  <si>
    <t xml:space="preserve">Saturn</t>
  </si>
  <si>
    <t xml:space="preserve">https://www.saturn.de/</t>
  </si>
  <si>
    <t xml:space="preserve">Real-onlineshop</t>
  </si>
  <si>
    <t xml:space="preserve">https://www.kaufland.de/</t>
  </si>
  <si>
    <t xml:space="preserve">Conrad</t>
  </si>
  <si>
    <t xml:space="preserve">https://www.conrad.de/</t>
  </si>
  <si>
    <t xml:space="preserve">Lidl-DE</t>
  </si>
  <si>
    <t xml:space="preserve">https://www.lidl.de/de/onlineshop</t>
  </si>
  <si>
    <t xml:space="preserve">https://www.mytoys.de/</t>
  </si>
  <si>
    <t xml:space="preserve">Hornbach-DE</t>
  </si>
  <si>
    <t xml:space="preserve">https://www.hornbach.de/</t>
  </si>
  <si>
    <t xml:space="preserve">Thalia</t>
  </si>
  <si>
    <t xml:space="preserve">https://www.thalia.de/shop/home/show/</t>
  </si>
  <si>
    <t xml:space="preserve">Galeria Kaufhof</t>
  </si>
  <si>
    <t xml:space="preserve">www.galeria.de</t>
  </si>
  <si>
    <t xml:space="preserve">Zalando</t>
  </si>
  <si>
    <t xml:space="preserve">https://www.zalando.de/herren-home</t>
  </si>
  <si>
    <t xml:space="preserve">Euronics-DE</t>
  </si>
  <si>
    <t xml:space="preserve">https://www.euronics.de/</t>
  </si>
  <si>
    <t xml:space="preserve">DM-DE</t>
  </si>
  <si>
    <t xml:space="preserve">https://www.dm.de/</t>
  </si>
  <si>
    <t xml:space="preserve">OBI-DE</t>
  </si>
  <si>
    <t xml:space="preserve">https://www.obi.de/</t>
  </si>
  <si>
    <t xml:space="preserve">Rewe-express</t>
  </si>
  <si>
    <t xml:space="preserve">https://shop.rewe.de/</t>
  </si>
  <si>
    <t xml:space="preserve">Rossman</t>
  </si>
  <si>
    <t xml:space="preserve">https://www.rossmann.de/einkaufsportal/</t>
  </si>
  <si>
    <t xml:space="preserve">Wayfair-DE</t>
  </si>
  <si>
    <t xml:space="preserve">https://www.wayfair.de/</t>
  </si>
  <si>
    <t xml:space="preserve">https://www.douglas.de/</t>
  </si>
  <si>
    <t xml:space="preserve">zooplus</t>
  </si>
  <si>
    <t xml:space="preserve">https://www.zooplus.de/</t>
  </si>
  <si>
    <t xml:space="preserve">Noon-EG</t>
  </si>
  <si>
    <t xml:space="preserve">https://www.noon.com/egypt-en/</t>
  </si>
  <si>
    <t xml:space="preserve">Jumia-EG</t>
  </si>
  <si>
    <t xml:space="preserve">https://www.jumia.com.eg/catalog/</t>
  </si>
  <si>
    <t xml:space="preserve">Carrefour-EG</t>
  </si>
  <si>
    <t xml:space="preserve">https://www.carrefouregypt.com/</t>
  </si>
  <si>
    <t xml:space="preserve">Elcorteingles-ES</t>
  </si>
  <si>
    <t xml:space="preserve">elcorteingles.es</t>
  </si>
  <si>
    <t xml:space="preserve">Mediamarkt-ES</t>
  </si>
  <si>
    <t xml:space="preserve">mediamarkt.es</t>
  </si>
  <si>
    <t xml:space="preserve">Carrefour-ES</t>
  </si>
  <si>
    <t xml:space="preserve">carrefour.es</t>
  </si>
  <si>
    <t xml:space="preserve">Fnac-ES</t>
  </si>
  <si>
    <t xml:space="preserve">fnac.es</t>
  </si>
  <si>
    <t xml:space="preserve">Pccomponentes-ES</t>
  </si>
  <si>
    <t xml:space="preserve">pccomponentes.com</t>
  </si>
  <si>
    <t xml:space="preserve">Aliexpress-ES</t>
  </si>
  <si>
    <t xml:space="preserve">es.aliexpress.com</t>
  </si>
  <si>
    <t xml:space="preserve">worten.es</t>
  </si>
  <si>
    <t xml:space="preserve">Elcorteingles-ES-Supermercado</t>
  </si>
  <si>
    <t xml:space="preserve">Zalando-ES</t>
  </si>
  <si>
    <t xml:space="preserve">zalando.es</t>
  </si>
  <si>
    <t xml:space="preserve">Elcorteingles-Mascotas-ES</t>
  </si>
  <si>
    <t xml:space="preserve">Elcorteingles-Gourmet-ES</t>
  </si>
  <si>
    <t xml:space="preserve">Decathlon-ES</t>
  </si>
  <si>
    <t xml:space="preserve">decathlon.es</t>
  </si>
  <si>
    <t xml:space="preserve">Carrefour-Supermercado-ES</t>
  </si>
  <si>
    <t xml:space="preserve">Cdiscount</t>
  </si>
  <si>
    <t xml:space="preserve">Fnac</t>
  </si>
  <si>
    <t xml:space="preserve">fnac.com</t>
  </si>
  <si>
    <t xml:space="preserve">E.Leclerc-FR</t>
  </si>
  <si>
    <t xml:space="preserve">e.leclerc</t>
  </si>
  <si>
    <t xml:space="preserve">Boulanger</t>
  </si>
  <si>
    <t xml:space="preserve">boulanger.com</t>
  </si>
  <si>
    <t xml:space="preserve">Darty</t>
  </si>
  <si>
    <t xml:space="preserve">darty.com</t>
  </si>
  <si>
    <t xml:space="preserve">Auchan</t>
  </si>
  <si>
    <t xml:space="preserve">auchan.fr</t>
  </si>
  <si>
    <t xml:space="preserve">Leroymerlin</t>
  </si>
  <si>
    <t xml:space="preserve">leroymerlin.fr</t>
  </si>
  <si>
    <t xml:space="preserve">FnacTrade</t>
  </si>
  <si>
    <t xml:space="preserve">CDiscount Pro</t>
  </si>
  <si>
    <t xml:space="preserve">Leclerc-Drive</t>
  </si>
  <si>
    <t xml:space="preserve">leclercdrive.fr</t>
  </si>
  <si>
    <t xml:space="preserve">Laredoute</t>
  </si>
  <si>
    <t xml:space="preserve">laredoute.fr</t>
  </si>
  <si>
    <t xml:space="preserve">Ubaldi</t>
  </si>
  <si>
    <t xml:space="preserve">ubaldi.com</t>
  </si>
  <si>
    <t xml:space="preserve">Fnac-SpecialEditions</t>
  </si>
  <si>
    <t xml:space="preserve">Zalando-FR</t>
  </si>
  <si>
    <t xml:space="preserve">zalando.fr</t>
  </si>
  <si>
    <t xml:space="preserve">Galerieslafayette</t>
  </si>
  <si>
    <t xml:space="preserve">galerieslafayette.com</t>
  </si>
  <si>
    <t xml:space="preserve">Auchandirect</t>
  </si>
  <si>
    <t xml:space="preserve">Maisonetloisirs-leclerc-FR</t>
  </si>
  <si>
    <t xml:space="preserve">www.maisonetloisirs.leclerc</t>
  </si>
  <si>
    <t xml:space="preserve">OptiqueLeclerc-FR</t>
  </si>
  <si>
    <t xml:space="preserve">optique.e-leclerc.com</t>
  </si>
  <si>
    <t xml:space="preserve">Auto-leclerc-FR</t>
  </si>
  <si>
    <t xml:space="preserve">www.auto.leclerc/</t>
  </si>
  <si>
    <t xml:space="preserve">Flipkart-IN</t>
  </si>
  <si>
    <t xml:space="preserve">www.flipkart.com</t>
  </si>
  <si>
    <t xml:space="preserve">Myntra</t>
  </si>
  <si>
    <t xml:space="preserve">myntra.com</t>
  </si>
  <si>
    <t xml:space="preserve">MediaWorld-IT</t>
  </si>
  <si>
    <t xml:space="preserve">mediaworld.it</t>
  </si>
  <si>
    <t xml:space="preserve">Unieuro-IT</t>
  </si>
  <si>
    <t xml:space="preserve">unieuro.it</t>
  </si>
  <si>
    <t xml:space="preserve">ePrice-IT</t>
  </si>
  <si>
    <t xml:space="preserve">eprice.it</t>
  </si>
  <si>
    <t xml:space="preserve">IBS-IT</t>
  </si>
  <si>
    <t xml:space="preserve">ibs.it</t>
  </si>
  <si>
    <t xml:space="preserve">Euronics-IT</t>
  </si>
  <si>
    <t xml:space="preserve">euronics.it</t>
  </si>
  <si>
    <t xml:space="preserve">Zalando-IT</t>
  </si>
  <si>
    <t xml:space="preserve">zalando.it</t>
  </si>
  <si>
    <t xml:space="preserve">COOP-IT</t>
  </si>
  <si>
    <t xml:space="preserve">cooponline.it</t>
  </si>
  <si>
    <t xml:space="preserve">COOPDrive-IT</t>
  </si>
  <si>
    <t xml:space="preserve">coopshop.it</t>
  </si>
  <si>
    <t xml:space="preserve">Esselungaacasa-Rome-IT</t>
  </si>
  <si>
    <t xml:space="preserve">esselungaacasa.it</t>
  </si>
  <si>
    <t xml:space="preserve">Esselungaacasa-Milano-IT</t>
  </si>
  <si>
    <t xml:space="preserve">Easycoop-Bologna-IT</t>
  </si>
  <si>
    <t xml:space="preserve">bologna.easycoop.com</t>
  </si>
  <si>
    <t xml:space="preserve">easycoop.com</t>
  </si>
  <si>
    <t xml:space="preserve">Yodobashi</t>
  </si>
  <si>
    <t xml:space="preserve">BicCamera</t>
  </si>
  <si>
    <t xml:space="preserve">www.biccamera.com</t>
  </si>
  <si>
    <t xml:space="preserve">https://lohaco.yahoo.co.jp/</t>
  </si>
  <si>
    <t xml:space="preserve">Zozotown</t>
  </si>
  <si>
    <t xml:space="preserve">https://zozo.jp/</t>
  </si>
  <si>
    <t xml:space="preserve">Rakuten-JP/Rakuten-JP-MKPL/Rakuten-JP-MKPL-SIC</t>
  </si>
  <si>
    <t xml:space="preserve">books.rakuten.co.jp/RBOOKS/</t>
  </si>
  <si>
    <t xml:space="preserve">Yahoo-JP-MKPL/Yahoo-JP-MKPL-SIC </t>
  </si>
  <si>
    <t xml:space="preserve">https://www.yahoo.co.jp/</t>
  </si>
  <si>
    <t xml:space="preserve">Walmart-MX</t>
  </si>
  <si>
    <t xml:space="preserve">walmart.com.mx</t>
  </si>
  <si>
    <t xml:space="preserve">Liverpool-MX</t>
  </si>
  <si>
    <t xml:space="preserve">liverpool.com.mx</t>
  </si>
  <si>
    <t xml:space="preserve">Walmart-Super-MX</t>
  </si>
  <si>
    <t xml:space="preserve">super.walmart.com.mx</t>
  </si>
  <si>
    <t xml:space="preserve">Bodegaaurrera-MX</t>
  </si>
  <si>
    <t xml:space="preserve">bodegaaurrera.com.mx</t>
  </si>
  <si>
    <t xml:space="preserve">Coppel-MX</t>
  </si>
  <si>
    <t xml:space="preserve">coppel.com</t>
  </si>
  <si>
    <t xml:space="preserve">Chedraui-MX</t>
  </si>
  <si>
    <t xml:space="preserve">chedraui.com.mx</t>
  </si>
  <si>
    <t xml:space="preserve">Samsclub-MX</t>
  </si>
  <si>
    <t xml:space="preserve">sams.com.mx</t>
  </si>
  <si>
    <t xml:space="preserve">Bodegaaurrera-Super-MX</t>
  </si>
  <si>
    <t xml:space="preserve">https://despensa.bodegaaurrera.com.mx</t>
  </si>
  <si>
    <t xml:space="preserve">Superama-MX</t>
  </si>
  <si>
    <t xml:space="preserve">superama.com.mx</t>
  </si>
  <si>
    <t xml:space="preserve">BOL-NL</t>
  </si>
  <si>
    <t xml:space="preserve">bol.com</t>
  </si>
  <si>
    <t xml:space="preserve">Coolblue-NL</t>
  </si>
  <si>
    <t xml:space="preserve">coolblue.nl</t>
  </si>
  <si>
    <t xml:space="preserve">Wehkamp-NL</t>
  </si>
  <si>
    <t xml:space="preserve">wehkamp.nl</t>
  </si>
  <si>
    <t xml:space="preserve">Zalando-NL</t>
  </si>
  <si>
    <t xml:space="preserve">zalando.nl</t>
  </si>
  <si>
    <t xml:space="preserve">CoolblueBE-NL</t>
  </si>
  <si>
    <t xml:space="preserve">https://www.morele.net/</t>
  </si>
  <si>
    <t xml:space="preserve">OleOle-PL</t>
  </si>
  <si>
    <t xml:space="preserve">www.oleole.pl</t>
  </si>
  <si>
    <t xml:space="preserve">Rossmann-PL</t>
  </si>
  <si>
    <t xml:space="preserve">www.rossmann.pl</t>
  </si>
  <si>
    <t xml:space="preserve">www.euro.com.pl</t>
  </si>
  <si>
    <t xml:space="preserve">https://www.x-kom.pl/</t>
  </si>
  <si>
    <t xml:space="preserve">Zalando-PL</t>
  </si>
  <si>
    <t xml:space="preserve">www.zalando.pl</t>
  </si>
  <si>
    <t xml:space="preserve">Noon-SA</t>
  </si>
  <si>
    <t xml:space="preserve">https://www.noon.com/saudi-en</t>
  </si>
  <si>
    <t xml:space="preserve">Extra-SA</t>
  </si>
  <si>
    <t xml:space="preserve">https://www.extra.com/en-sa/</t>
  </si>
  <si>
    <t xml:space="preserve">Jarir-SA</t>
  </si>
  <si>
    <t xml:space="preserve">http://www.jarir.com/sa-en/</t>
  </si>
  <si>
    <t xml:space="preserve">Lulu-SA</t>
  </si>
  <si>
    <t xml:space="preserve">https://www.luluhypermarket.com/en-sa</t>
  </si>
  <si>
    <t xml:space="preserve">Namshi-SA</t>
  </si>
  <si>
    <t xml:space="preserve">https://en-sa.namshi.com</t>
  </si>
  <si>
    <t xml:space="preserve">https://cdon.se/</t>
  </si>
  <si>
    <t xml:space="preserve">Zalando-SE</t>
  </si>
  <si>
    <t xml:space="preserve">www.zalando.se</t>
  </si>
  <si>
    <t xml:space="preserve">Lazada_SING</t>
  </si>
  <si>
    <t xml:space="preserve">bixi.alicdn.com</t>
  </si>
  <si>
    <t xml:space="preserve">Shopee_SING</t>
  </si>
  <si>
    <t xml:space="preserve">shopee.sg</t>
  </si>
  <si>
    <t xml:space="preserve">Hepsiburada-TR</t>
  </si>
  <si>
    <t xml:space="preserve">hepsiburada.com</t>
  </si>
  <si>
    <t xml:space="preserve">Trendyol-TR</t>
  </si>
  <si>
    <t xml:space="preserve">trendyol.com</t>
  </si>
  <si>
    <t xml:space="preserve">MediaMarkt-TR</t>
  </si>
  <si>
    <t xml:space="preserve">mediamarkt.com.tr</t>
  </si>
  <si>
    <t xml:space="preserve">vatanbilgisayar.com</t>
  </si>
  <si>
    <t xml:space="preserve">Teknosa-TR</t>
  </si>
  <si>
    <t xml:space="preserve">teknosa.com</t>
  </si>
  <si>
    <t xml:space="preserve">idefix.com</t>
  </si>
  <si>
    <t xml:space="preserve">kitapyurdu.com</t>
  </si>
  <si>
    <t xml:space="preserve">Tekzen-TR</t>
  </si>
  <si>
    <t xml:space="preserve">tekzen.com.tr</t>
  </si>
  <si>
    <t xml:space="preserve">dr.com.tr</t>
  </si>
  <si>
    <t xml:space="preserve">Koctas-TR</t>
  </si>
  <si>
    <t xml:space="preserve">koctas.com.tr</t>
  </si>
  <si>
    <t xml:space="preserve">migros.com.tr</t>
  </si>
  <si>
    <t xml:space="preserve">Watsons-TR</t>
  </si>
  <si>
    <t xml:space="preserve">watsons.com.tr</t>
  </si>
  <si>
    <t xml:space="preserve">Carrefoursa-TR</t>
  </si>
  <si>
    <t xml:space="preserve">carrefoursa.com</t>
  </si>
  <si>
    <t xml:space="preserve">Argos</t>
  </si>
  <si>
    <t xml:space="preserve">argos.co.uk</t>
  </si>
  <si>
    <t xml:space="preserve">Very</t>
  </si>
  <si>
    <t xml:space="preserve">very.co.uk</t>
  </si>
  <si>
    <t xml:space="preserve">John Lewis</t>
  </si>
  <si>
    <t xml:space="preserve">johnlewis.com</t>
  </si>
  <si>
    <t xml:space="preserve">Currys</t>
  </si>
  <si>
    <t xml:space="preserve">currys.co.uk</t>
  </si>
  <si>
    <t xml:space="preserve">Tesco</t>
  </si>
  <si>
    <t xml:space="preserve">tesco.com</t>
  </si>
  <si>
    <t xml:space="preserve">groceries.asda.com</t>
  </si>
  <si>
    <t xml:space="preserve">Sainsburys</t>
  </si>
  <si>
    <t xml:space="preserve">sainsburys.co.uk</t>
  </si>
  <si>
    <t xml:space="preserve">Ocado</t>
  </si>
  <si>
    <t xml:space="preserve">ocado.com</t>
  </si>
  <si>
    <t xml:space="preserve">Boots</t>
  </si>
  <si>
    <t xml:space="preserve">boots.com</t>
  </si>
  <si>
    <t xml:space="preserve">AO.com-UK</t>
  </si>
  <si>
    <t xml:space="preserve">ao.com</t>
  </si>
  <si>
    <t xml:space="preserve">Wayfair-UK</t>
  </si>
  <si>
    <t xml:space="preserve">wayfair.co.uk</t>
  </si>
  <si>
    <t xml:space="preserve">Asos</t>
  </si>
  <si>
    <t xml:space="preserve">WaterStones</t>
  </si>
  <si>
    <t xml:space="preserve">waterstones.com</t>
  </si>
  <si>
    <t xml:space="preserve">Littlewoods</t>
  </si>
  <si>
    <t xml:space="preserve">littlewoods.com</t>
  </si>
  <si>
    <t xml:space="preserve">Zalando-UK</t>
  </si>
  <si>
    <t xml:space="preserve">zalando.co.uk</t>
  </si>
  <si>
    <t xml:space="preserve">Tesco-Wine</t>
  </si>
  <si>
    <t xml:space="preserve">Spartoo-UK</t>
  </si>
  <si>
    <t xml:space="preserve">spartoo.co.uk</t>
  </si>
  <si>
    <t xml:space="preserve">Bootskitchenappliances</t>
  </si>
  <si>
    <t xml:space="preserve">bootskitchenappliances.com</t>
  </si>
  <si>
    <t xml:space="preserve">walmart.com</t>
  </si>
  <si>
    <t xml:space="preserve">target.com</t>
  </si>
  <si>
    <t xml:space="preserve">WalmartGrocery-US</t>
  </si>
  <si>
    <t xml:space="preserve">homedepot.com</t>
  </si>
  <si>
    <t xml:space="preserve">BestBuy</t>
  </si>
  <si>
    <t xml:space="preserve">bestbuy.com</t>
  </si>
  <si>
    <t xml:space="preserve">macys.com</t>
  </si>
  <si>
    <t xml:space="preserve">Costco</t>
  </si>
  <si>
    <t xml:space="preserve">costco.com</t>
  </si>
  <si>
    <t xml:space="preserve">Samsclub</t>
  </si>
  <si>
    <t xml:space="preserve">samsclub.com</t>
  </si>
  <si>
    <t xml:space="preserve">Wayfair</t>
  </si>
  <si>
    <t xml:space="preserve">wayfair.com</t>
  </si>
  <si>
    <t xml:space="preserve">Nordstrom</t>
  </si>
  <si>
    <t xml:space="preserve">nordstrom.com</t>
  </si>
  <si>
    <t xml:space="preserve">chewy.com</t>
  </si>
  <si>
    <t xml:space="preserve">NordstromRack_US</t>
  </si>
  <si>
    <t xml:space="preserve">nordstromrack.com</t>
  </si>
  <si>
    <t xml:space="preserve">Bestbuy-Trade</t>
  </si>
  <si>
    <t xml:space="preserve">Walmartpetrx</t>
  </si>
  <si>
    <t xml:space="preserve">walmartpetrx.com</t>
  </si>
  <si>
    <t xml:space="preserve">Category</t>
  </si>
  <si>
    <t xml:space="preserve">Type</t>
  </si>
  <si>
    <t xml:space="preserve">Item</t>
  </si>
  <si>
    <t xml:space="preserve">Assigned Group</t>
  </si>
  <si>
    <t xml:space="preserve">Purpose</t>
  </si>
  <si>
    <t xml:space="preserve">IT Dev</t>
  </si>
  <si>
    <t xml:space="preserve">ASIN Metrics</t>
  </si>
  <si>
    <t xml:space="preserve">Manual Mapping Request</t>
  </si>
  <si>
    <t xml:space="preserve">ADHOC mapping AE</t>
  </si>
  <si>
    <t xml:space="preserve">Ticket assignment</t>
  </si>
  <si>
    <t xml:space="preserve">Softlines</t>
  </si>
  <si>
    <t xml:space="preserve">Media</t>
  </si>
  <si>
    <t xml:space="preserve">ADHOC Mapping Kelly</t>
  </si>
  <si>
    <t xml:space="preserve">ADHOC Mapping BR</t>
  </si>
  <si>
    <t xml:space="preserve">Adhoc Mapping CA HL</t>
  </si>
  <si>
    <t xml:space="preserve">Mapping - CA Softlines</t>
  </si>
  <si>
    <t xml:space="preserve">Adhoc Mapping Consumables - CA</t>
  </si>
  <si>
    <t xml:space="preserve">Ad-hoc Media mapping CA</t>
  </si>
  <si>
    <t xml:space="preserve">Adhoc Mapping DE HL</t>
  </si>
  <si>
    <t xml:space="preserve">Mapping - DE Softlines</t>
  </si>
  <si>
    <t xml:space="preserve">DE Consumables Mappings</t>
  </si>
  <si>
    <t xml:space="preserve">Ad-hoc Media mapping DE</t>
  </si>
  <si>
    <t xml:space="preserve">Asin Metrics</t>
  </si>
  <si>
    <t xml:space="preserve">ADHOC Mapping ES</t>
  </si>
  <si>
    <t xml:space="preserve">Mapping - ES Softlines</t>
  </si>
  <si>
    <t xml:space="preserve">ES Consumables Mappings</t>
  </si>
  <si>
    <t xml:space="preserve">Adhoc Media Mapping ES</t>
  </si>
  <si>
    <t xml:space="preserve">Adhoc Mapping FR_HL</t>
  </si>
  <si>
    <t xml:space="preserve">Mapping - FR Softlines</t>
  </si>
  <si>
    <t xml:space="preserve">FR Consumables Mappings</t>
  </si>
  <si>
    <t xml:space="preserve">Ad-Hoc Media Mapping FR</t>
  </si>
  <si>
    <t xml:space="preserve">ADHOC Mapping IT</t>
  </si>
  <si>
    <t xml:space="preserve">Mapping - IT Softlines</t>
  </si>
  <si>
    <t xml:space="preserve">Retail Systems</t>
  </si>
  <si>
    <t xml:space="preserve">Competitive Monitoring Tool</t>
  </si>
  <si>
    <t xml:space="preserve">EU-FE Consumables Mappings</t>
  </si>
  <si>
    <t xml:space="preserve">IT Consumables Mappings</t>
  </si>
  <si>
    <t xml:space="preserve">Adhoc Media Mapping IT</t>
  </si>
  <si>
    <t xml:space="preserve">Adhoc Mapping JPHL</t>
  </si>
  <si>
    <t xml:space="preserve">Mapping - JP Softlines</t>
  </si>
  <si>
    <t xml:space="preserve">Adhoc Mapping Consumables - JP</t>
  </si>
  <si>
    <t xml:space="preserve">Ad-hoc Media mapping JP</t>
  </si>
  <si>
    <t xml:space="preserve">KSA</t>
  </si>
  <si>
    <t xml:space="preserve">ADHOC Mapping SA</t>
  </si>
  <si>
    <t xml:space="preserve">Adhoc Mapping MX HL</t>
  </si>
  <si>
    <t xml:space="preserve">Adhoc Mapping MX SL</t>
  </si>
  <si>
    <t xml:space="preserve">Adhoc Mapping Consumables - MX</t>
  </si>
  <si>
    <t xml:space="preserve">Adhoc Media Mapping MX</t>
  </si>
  <si>
    <t xml:space="preserve">ADHOC Mapping NL</t>
  </si>
  <si>
    <t xml:space="preserve">Manual Mapping Request- SG</t>
  </si>
  <si>
    <t xml:space="preserve">Prime Now - EU &amp; FE</t>
  </si>
  <si>
    <t xml:space="preserve">ADHOC Mapping TR</t>
  </si>
  <si>
    <t xml:space="preserve">Adhoc Mapping UK HL</t>
  </si>
  <si>
    <t xml:space="preserve">Mapping - UK Softlines</t>
  </si>
  <si>
    <t xml:space="preserve">UK Consumables Mappings</t>
  </si>
  <si>
    <t xml:space="preserve">Ad-hoc Media Mapping UK</t>
  </si>
  <si>
    <t xml:space="preserve">Adhoc Mapping US HL</t>
  </si>
  <si>
    <t xml:space="preserve">Mapping - US Softlines</t>
  </si>
  <si>
    <t xml:space="preserve">Adhoc Mapping Consumables - US</t>
  </si>
  <si>
    <t xml:space="preserve">Ad-Hoc Media mapping US</t>
  </si>
  <si>
    <t xml:space="preserve">Limitation</t>
  </si>
  <si>
    <t xml:space="preserve">Unmatched Reasons</t>
  </si>
  <si>
    <t xml:space="preserve">SOP limitations</t>
  </si>
  <si>
    <t xml:space="preserve">BXGY - Hulk Pending</t>
  </si>
  <si>
    <t xml:space="preserve">Competitor-GL pair is not monitored in CMT</t>
  </si>
  <si>
    <t xml:space="preserve">Competitor-GL pair is out of HOTW scope</t>
  </si>
  <si>
    <t xml:space="preserve">In-store</t>
  </si>
  <si>
    <t xml:space="preserve">Pilot phase - No Retail response</t>
  </si>
  <si>
    <t xml:space="preserve">System limitations</t>
  </si>
  <si>
    <t xml:space="preserve">App only promotion</t>
  </si>
  <si>
    <t xml:space="preserve">Auto-Ship promotion</t>
  </si>
  <si>
    <t xml:space="preserve">Bank Offers/Specific payment method</t>
  </si>
  <si>
    <t xml:space="preserve">Bundled Heterogeneous promotion</t>
  </si>
  <si>
    <t xml:space="preserve">Buy Now Pay Later</t>
  </si>
  <si>
    <t xml:space="preserve">Cash back promotion</t>
  </si>
  <si>
    <t xml:space="preserve">Defective/used items</t>
  </si>
  <si>
    <t xml:space="preserve">First orders</t>
  </si>
  <si>
    <t xml:space="preserve">Friction-based: Unclear/non-detectable inclusions/exclusions</t>
  </si>
  <si>
    <t xml:space="preserve">Full priced items</t>
  </si>
  <si>
    <t xml:space="preserve">Gift Card promotion</t>
  </si>
  <si>
    <t xml:space="preserve">Limited Customers</t>
  </si>
  <si>
    <t xml:space="preserve">Limited units per order</t>
  </si>
  <si>
    <t xml:space="preserve">Mail-in Rebate</t>
  </si>
  <si>
    <t xml:space="preserve">Members-only</t>
  </si>
  <si>
    <t xml:space="preserve">No overlapping ASINs found</t>
  </si>
  <si>
    <t xml:space="preserve">No product on competitor in stock</t>
  </si>
  <si>
    <t xml:space="preserve">No Rebate logic</t>
  </si>
  <si>
    <t xml:space="preserve">Non-core GLs</t>
  </si>
  <si>
    <t xml:space="preserve">Once per customer</t>
  </si>
  <si>
    <t xml:space="preserve">Order online, pick up in-store</t>
  </si>
  <si>
    <t xml:space="preserve">Others</t>
  </si>
  <si>
    <t xml:space="preserve">Points/Rewards</t>
  </si>
  <si>
    <t xml:space="preserve">Pre-order promotion</t>
  </si>
  <si>
    <t xml:space="preserve">Private/exclusive brands</t>
  </si>
  <si>
    <t xml:space="preserve">Promo ended before matching</t>
  </si>
  <si>
    <t xml:space="preserve">Rebate not getting applied in cart</t>
  </si>
  <si>
    <t xml:space="preserve">Repeat delivery orders only</t>
  </si>
  <si>
    <t xml:space="preserve">Requires claiming discount on external websites</t>
  </si>
  <si>
    <t xml:space="preserve">Sale priced items</t>
  </si>
  <si>
    <t xml:space="preserve">Sold by competitor 3P sellers</t>
  </si>
  <si>
    <t xml:space="preserve">Stacked Promotions</t>
  </si>
  <si>
    <t xml:space="preserve">Subscribe and Save</t>
  </si>
  <si>
    <t xml:space="preserve">This promotion in not available on Competitor website</t>
  </si>
  <si>
    <t xml:space="preserve">Trade-in promotion</t>
  </si>
  <si>
    <t xml:space="preserve">undefined</t>
  </si>
  <si>
    <t xml:space="preserve">Valid only 'n' times per customer</t>
  </si>
  <si>
    <t xml:space="preserve">Varying rebates</t>
  </si>
  <si>
    <t xml:space="preserve">Singul</t>
  </si>
  <si>
    <t xml:space="preserve">Plural</t>
  </si>
  <si>
    <t xml:space="preserve">Activation Plan</t>
  </si>
  <si>
    <t xml:space="preserve">Note: The above promotion is based on activation plans. Hence not matched.</t>
  </si>
  <si>
    <t xml:space="preserve">app only</t>
  </si>
  <si>
    <t xml:space="preserve">Note: The above promotion is app only. Hence not being matched.</t>
  </si>
  <si>
    <t xml:space="preserve">Note: The promotion is valid app-only, requesting retail to review and approve to match SIC promotions, as appropriate.</t>
  </si>
  <si>
    <t xml:space="preserve">APPROVAL BOUNCE BACK</t>
  </si>
  <si>
    <t xml:space="preserve">Note: The above promotions are bounce back promotion redeemable at later dates. Requesting retail to review and approve matching relevant promotion.</t>
  </si>
  <si>
    <t xml:space="preserve">ASIN LEVEL VIBE</t>
  </si>
  <si>
    <t xml:space="preserve">Note: Our internal team is working on extracting the overlapping ASINs from the promotion node. Post extraction, Vibe will be launched and updated in the same portal.</t>
  </si>
  <si>
    <t xml:space="preserve">specific pay method</t>
  </si>
  <si>
    <t xml:space="preserve">Note: The above promotion is not being matched as the discount is valid only through specific payment method.</t>
  </si>
  <si>
    <t xml:space="preserve">Note: The above promotions are not being matched as the discount is valid only through specific payment method.</t>
  </si>
  <si>
    <t xml:space="preserve">bounce back</t>
  </si>
  <si>
    <r>
      <rPr>
        <b val="true"/>
        <sz val="11"/>
        <color rgb="FF000000"/>
        <rFont val="Calibri"/>
        <family val="2"/>
        <charset val="1"/>
      </rPr>
      <t xml:space="preserve">Note: The</t>
    </r>
    <r>
      <rPr>
        <b val="true"/>
        <sz val="11"/>
        <color rgb="FF1F497D"/>
        <rFont val="Calibri"/>
        <family val="2"/>
        <charset val="1"/>
      </rPr>
      <t xml:space="preserve"> </t>
    </r>
    <r>
      <rPr>
        <b val="true"/>
        <sz val="11"/>
        <color rgb="FF000000"/>
        <rFont val="Calibri"/>
        <family val="2"/>
        <charset val="1"/>
      </rPr>
      <t xml:space="preserve">above promotion is bounce back promotions redeemable at later dates. Hence, not being matched.</t>
    </r>
  </si>
  <si>
    <r>
      <rPr>
        <b val="true"/>
        <sz val="11"/>
        <color rgb="FF000000"/>
        <rFont val="Calibri"/>
        <family val="2"/>
        <charset val="1"/>
      </rPr>
      <t xml:space="preserve">Note: The</t>
    </r>
    <r>
      <rPr>
        <b val="true"/>
        <sz val="11"/>
        <color rgb="FF1F497D"/>
        <rFont val="Calibri"/>
        <family val="2"/>
        <charset val="1"/>
      </rPr>
      <t xml:space="preserve"> </t>
    </r>
    <r>
      <rPr>
        <b val="true"/>
        <sz val="11"/>
        <color rgb="FF000000"/>
        <rFont val="Calibri"/>
        <family val="2"/>
        <charset val="1"/>
      </rPr>
      <t xml:space="preserve">above promotions are bounce back promotions redeemable at later dates. Hence, not being matched.</t>
    </r>
  </si>
  <si>
    <t xml:space="preserve">bundle</t>
  </si>
  <si>
    <t xml:space="preserve">Note: The above promotion is bundle promotion. Hence, not being matched.</t>
  </si>
  <si>
    <t xml:space="preserve">Note: The above promotions are bundle promotion. Hence, not being matched.</t>
  </si>
  <si>
    <t xml:space="preserve">Not monitored</t>
  </si>
  <si>
    <t xml:space="preserve">Note: The above promotion is not matched as the competitor-GL pair is not monitored in CMT.</t>
  </si>
  <si>
    <t xml:space="preserve">Note: The above promotion are not matched as the competitor-GL pair is not monitored in CMT.</t>
  </si>
  <si>
    <t xml:space="preserve">NOT hotw</t>
  </si>
  <si>
    <t xml:space="preserve">Note: The promotion is not being matched as the competitor-GL pairs are not part of HOTW SOP.</t>
  </si>
  <si>
    <t xml:space="preserve">Note: The promotions are not being matched as the competitor-GL pairs are not part of HOTW SOP.</t>
  </si>
  <si>
    <t xml:space="preserve">DP 1ST PLACE</t>
  </si>
  <si>
    <t xml:space="preserve">Note: For the above promotion we are unable to find the promo string in 1st place in DP. Hence not feasible to be matched via ST.</t>
  </si>
  <si>
    <t xml:space="preserve">First order</t>
  </si>
  <si>
    <t xml:space="preserve">Note: The above promotion is not being matched as the discount is valid only on first order.</t>
  </si>
  <si>
    <t xml:space="preserve">Note: The above promotions are not being matched as the discount is valid only on first order.</t>
  </si>
  <si>
    <t xml:space="preserve">Free Gift</t>
  </si>
  <si>
    <t xml:space="preserve">Free</t>
  </si>
  <si>
    <t xml:space="preserve">Note: The above promotion is free product promotion. Hence not matched as per the SOP.</t>
  </si>
  <si>
    <t xml:space="preserve">Note: The above promotions are free product promotion. Hence not matched as per the SOP.</t>
  </si>
  <si>
    <t xml:space="preserve">unclear exlusion/selected products</t>
  </si>
  <si>
    <t xml:space="preserve">Note: The above promotion is on selected items and with unclear exclusions. Hence, not being matched.</t>
  </si>
  <si>
    <t xml:space="preserve">Note: The above promotions are on selected items and with unclear exclusions. Hence, not being matched.</t>
  </si>
  <si>
    <t xml:space="preserve">gift card</t>
  </si>
  <si>
    <t xml:space="preserve">Note: The above promotion is gift card promotion. Hence not matched.</t>
  </si>
  <si>
    <t xml:space="preserve">Note: The above promotions are gift card promotion. Hence not matched.</t>
  </si>
  <si>
    <t xml:space="preserve">GL LEVEL VIBE</t>
  </si>
  <si>
    <t xml:space="preserve">Note: The above promotion is matched via GL level vibe. Kindly track the vibe link for matching details.</t>
  </si>
  <si>
    <t xml:space="preserve">Note: The above promotion is In-store promotion. Hence not matched as per the SOP.</t>
  </si>
  <si>
    <t xml:space="preserve">Limited customer</t>
  </si>
  <si>
    <t xml:space="preserve">Note: The above promotion is valid only for limited customers. Hence not being matched.</t>
  </si>
  <si>
    <t xml:space="preserve">Note: The above promotions are valid only for limited customers. Hence not being matched.</t>
  </si>
  <si>
    <t xml:space="preserve">Limited items per order</t>
  </si>
  <si>
    <t xml:space="preserve">Note: The above promotions are limited to XX items per customer. Hence requesting retail to review and approve if needs to be matched.</t>
  </si>
  <si>
    <t xml:space="preserve">MEMBERS ONLY</t>
  </si>
  <si>
    <t xml:space="preserve">Note: The above promotion is member only. Hence, not being matched.</t>
  </si>
  <si>
    <t xml:space="preserve">Note: The above promotions are member only. Hence, not being matched.</t>
  </si>
  <si>
    <t xml:space="preserve">Next purchase promotion</t>
  </si>
  <si>
    <t xml:space="preserve">Note: The above promotion is valid on next purchase. Hence not being matched</t>
  </si>
  <si>
    <t xml:space="preserve">NIC</t>
  </si>
  <si>
    <t xml:space="preserve">Note: The above promotion is not being matched, as the competitor is not IC for the mentioned GLs.</t>
  </si>
  <si>
    <t xml:space="preserve">Note: The above promotions are not being matched, as the competitor is not IC for the mentioned GLs.</t>
  </si>
  <si>
    <t xml:space="preserve">No rebate logic</t>
  </si>
  <si>
    <t xml:space="preserve">Note: CMT does not have rebate logic to match this promotion. Request Retail to review and suggest appropriate rebate logic to be implemented in the configurations.</t>
  </si>
  <si>
    <t xml:space="preserve">Not meeting basket threshold</t>
  </si>
  <si>
    <t xml:space="preserve">Note: The above promotions are not being matched as it is basket level promotions where no individual product is priced above the minimum threshold.</t>
  </si>
  <si>
    <t xml:space="preserve">one per customer</t>
  </si>
  <si>
    <t xml:space="preserve">Note: The above promotion is limited to one per customer. Hence requesting retail to review.</t>
  </si>
  <si>
    <t xml:space="preserve">Note: The above promotions are limited to one per customer. Hence requesting retail to review.</t>
  </si>
  <si>
    <t xml:space="preserve">PAWS</t>
  </si>
  <si>
    <t xml:space="preserve">Note: Retail own matching multi buy promotions on PAWS. Please review and match the above promotion via PAWS</t>
  </si>
  <si>
    <t xml:space="preserve">points promo</t>
  </si>
  <si>
    <r>
      <rPr>
        <b val="true"/>
        <sz val="11"/>
        <color rgb="FF000000"/>
        <rFont val="Calibri"/>
        <family val="2"/>
        <charset val="1"/>
      </rPr>
      <t xml:space="preserve">Note</t>
    </r>
    <r>
      <rPr>
        <b val="true"/>
        <sz val="10"/>
        <color rgb="FF000000"/>
        <rFont val="Calibri"/>
        <family val="2"/>
        <charset val="1"/>
      </rPr>
      <t xml:space="preserve">: </t>
    </r>
    <r>
      <rPr>
        <b val="true"/>
        <sz val="11"/>
        <color rgb="FF000000"/>
        <rFont val="Calibri"/>
        <family val="2"/>
        <charset val="1"/>
      </rPr>
      <t xml:space="preserve">The above promotion offers rebate in form of competitor specific points. Hence not being matched.</t>
    </r>
  </si>
  <si>
    <t xml:space="preserve">private brands</t>
  </si>
  <si>
    <t xml:space="preserve">Note: The above promotion is on private brands. Hence, not being matched.</t>
  </si>
  <si>
    <t xml:space="preserve">not getting applied in cart</t>
  </si>
  <si>
    <t xml:space="preserve">Note: On sample check, promotion is not getting applied at the cart. Hence not being matched.</t>
  </si>
  <si>
    <t xml:space="preserve">Note: On sample check, promotions are not getting applied at the cart. Hence not being matched.</t>
  </si>
  <si>
    <t xml:space="preserve">Retail review</t>
  </si>
  <si>
    <t xml:space="preserve">Note: Requesting Retail to review and approve to match the promotions, if relevant.</t>
  </si>
  <si>
    <t xml:space="preserve">Signup</t>
  </si>
  <si>
    <t xml:space="preserve">Note: The above promotion is valid only on signing up newsletter. Hence not being matched</t>
  </si>
  <si>
    <t xml:space="preserve">Note: The above promotion is matched by ST crawl rules. Kindly track the ticket for more details</t>
  </si>
  <si>
    <t xml:space="preserve">Note: The above promotions are matched by ST crawl rules. Kindly track the ticket for more details</t>
  </si>
  <si>
    <t xml:space="preserve">Students only</t>
  </si>
  <si>
    <t xml:space="preserve">Disclaimer: Note: The above promotion is valid to Students only. Hence not being matched.</t>
  </si>
  <si>
    <t xml:space="preserve">XX TIMES PER CUSTOMER</t>
  </si>
  <si>
    <t xml:space="preserve">Variable rebate</t>
  </si>
  <si>
    <t xml:space="preserve">Note: The above promotion have variable rebates being applied in cart. Hence not matched.</t>
  </si>
  <si>
    <t xml:space="preserve">Note: We are unable to validate the above promotions in cart. Hence requesting retail to review.</t>
  </si>
  <si>
    <t xml:space="preserve">Note: The above promotion is valid on Full priced items only. Hence not being matched.</t>
  </si>
  <si>
    <t xml:space="preserve">Note: The above promotion is matched via GL level Vibe.</t>
  </si>
  <si>
    <t xml:space="preserve">IN ST</t>
  </si>
  <si>
    <t xml:space="preserve">ST (Site Training): String-based promotions can be matched by CMT’s internal configuration where the discount would be set as rebate and matched through pricing rules.</t>
  </si>
  <si>
    <t xml:space="preserve">IN VIBE</t>
  </si>
  <si>
    <t xml:space="preserve">Vibe: Non String-based promotions can be matched via Vibe tool.</t>
  </si>
  <si>
    <t xml:space="preserve">Note: The above promotion is not being matched as the discount is Trade-in promotion.</t>
  </si>
  <si>
    <t xml:space="preserve">Note: The above promotions are not being matched as the discount is Trade-in promotion.</t>
  </si>
  <si>
    <t xml:space="preserve">Note: The above promotion is bounce back promotion which is redeemable at later dates and also it requires registration on external website to avail cashback. Hence not being matched as per SOP.</t>
  </si>
  <si>
    <t xml:space="preserve">Note: The above promotions are bounce back promotions which are redeemable at later dates and also it requires registration on external website to avail cashback. Hence not being matched as per SOP.</t>
  </si>
  <si>
    <t xml:space="preserve">Note: The above promotion is stacked promotion. Hence not being matched</t>
  </si>
  <si>
    <t xml:space="preserve">Note: The above promotions are stacked promotions. Hence not being matched</t>
  </si>
  <si>
    <t xml:space="preserve">gl_apparel</t>
  </si>
  <si>
    <t xml:space="preserve">gl_baby_product</t>
  </si>
  <si>
    <t xml:space="preserve">gl_biss</t>
  </si>
  <si>
    <t xml:space="preserve">gl_book</t>
  </si>
  <si>
    <t xml:space="preserve">gl_furniture</t>
  </si>
  <si>
    <t xml:space="preserve">gl_grocery</t>
  </si>
  <si>
    <t xml:space="preserve">gl_jewelry</t>
  </si>
  <si>
    <t xml:space="preserve">gl_luggage</t>
  </si>
  <si>
    <t xml:space="preserve">gl_luxury_beauty</t>
  </si>
  <si>
    <t xml:space="preserve">gl_major_appliances</t>
  </si>
  <si>
    <t xml:space="preserve">gl_outdoor</t>
  </si>
  <si>
    <t xml:space="preserve">Hardlines/Consumables - depending on country</t>
  </si>
  <si>
    <t xml:space="preserve">gl_shoes</t>
  </si>
  <si>
    <t xml:space="preserve">gl_tires</t>
  </si>
  <si>
    <t xml:space="preserve">gl_wine</t>
  </si>
  <si>
    <t xml:space="preserve">CMT Recommended Set-up</t>
  </si>
  <si>
    <t xml:space="preserve">Disclaimer</t>
  </si>
  <si>
    <t xml:space="preserve">Reason/Comment</t>
  </si>
  <si>
    <t xml:space="preserve">Month</t>
  </si>
  <si>
    <t xml:space="preserve">No. Of Competitors</t>
  </si>
  <si>
    <t xml:space="preserve">Promotions Identified</t>
  </si>
  <si>
    <t xml:space="preserve">Vibes Created</t>
  </si>
  <si>
    <t xml:space="preserve">Tickets</t>
  </si>
  <si>
    <t xml:space="preserve">Mails</t>
  </si>
  <si>
    <t xml:space="preserve">Stark Count</t>
  </si>
  <si>
    <t xml:space="preserve">Tesla Count</t>
  </si>
  <si>
    <t xml:space="preserve">Rudra</t>
  </si>
  <si>
    <t xml:space="preserve">Cosmo</t>
  </si>
  <si>
    <t xml:space="preserve">Tesla audits</t>
  </si>
  <si>
    <t xml:space="preserve">Number of Hours extended</t>
  </si>
  <si>
    <t xml:space="preserve">Adhoc (In Hrs)</t>
  </si>
  <si>
    <t xml:space="preserve">Created</t>
  </si>
  <si>
    <t xml:space="preserve">Created By</t>
  </si>
  <si>
    <t xml:space="preserve">Modified</t>
  </si>
  <si>
    <t xml:space="preserve">Modified By</t>
  </si>
  <si>
    <t xml:space="preserve">Date and Time</t>
  </si>
  <si>
    <t xml:space="preserve">Number of promotions matched</t>
  </si>
  <si>
    <t xml:space="preserve">Sl.No</t>
  </si>
  <si>
    <t xml:space="preserve">Rebate Types</t>
  </si>
  <si>
    <t xml:space="preserve">Url</t>
  </si>
  <si>
    <t xml:space="preserve">NBB Internal Portal</t>
  </si>
  <si>
    <t xml:space="preserve">Stark Reasons</t>
  </si>
  <si>
    <t xml:space="preserve">Already matched</t>
  </si>
  <si>
    <t xml:space="preserve">BB_Points</t>
  </si>
  <si>
    <t xml:space="preserve">E-Gift card</t>
  </si>
  <si>
    <t xml:space="preserve">Bounce back Points</t>
  </si>
  <si>
    <t xml:space="preserve">Initiated matching</t>
  </si>
  <si>
    <t xml:space="preserve">Bundles</t>
  </si>
  <si>
    <t xml:space="preserve">Not a NBB</t>
  </si>
  <si>
    <t xml:space="preserve">BXGY_BX$GY$</t>
  </si>
  <si>
    <t xml:space="preserve">Not applying in cart</t>
  </si>
  <si>
    <t xml:space="preserve">BXGY_BX$GY$_BOUNCE_BACK</t>
  </si>
  <si>
    <t xml:space="preserve">Not part of HOTW</t>
  </si>
  <si>
    <t xml:space="preserve">BXGY_BX$GYPERCENT</t>
  </si>
  <si>
    <t xml:space="preserve">OOS</t>
  </si>
  <si>
    <t xml:space="preserve">Promo expired</t>
  </si>
  <si>
    <t xml:space="preserve">BXGY_BXGY</t>
  </si>
  <si>
    <t xml:space="preserve">BXGY_BXGY$</t>
  </si>
  <si>
    <t xml:space="preserve">BXGY_BXGY$_BOUNCE_BACK</t>
  </si>
  <si>
    <t xml:space="preserve">BXGY_BXGYPERCENT</t>
  </si>
  <si>
    <t xml:space="preserve">BXGY_BXGYZ$</t>
  </si>
  <si>
    <t xml:space="preserve">BXGY_BXGYZPERCENT</t>
  </si>
  <si>
    <t xml:space="preserve">Cash back</t>
  </si>
  <si>
    <t xml:space="preserve">Free shipping</t>
  </si>
  <si>
    <t xml:space="preserve">Gift card</t>
  </si>
  <si>
    <t xml:space="preserve">Mail in rebate</t>
  </si>
  <si>
    <t xml:space="preserve">Member Discount</t>
  </si>
  <si>
    <t xml:space="preserve">Pickup In-store</t>
  </si>
  <si>
    <t xml:space="preserve">Points</t>
  </si>
  <si>
    <t xml:space="preserve">a</t>
  </si>
</sst>
</file>

<file path=xl/styles.xml><?xml version="1.0" encoding="utf-8"?>
<styleSheet xmlns="http://schemas.openxmlformats.org/spreadsheetml/2006/main">
  <numFmts count="4">
    <numFmt numFmtId="164" formatCode="General"/>
    <numFmt numFmtId="165" formatCode="General"/>
    <numFmt numFmtId="166" formatCode="m\/dd\/yyyy"/>
    <numFmt numFmtId="167" formatCode="dd/mm/yyyy"/>
  </numFmts>
  <fonts count="27">
    <font>
      <sz val="11"/>
      <color rgb="FF000000"/>
      <name val="Calibri"/>
      <family val="2"/>
      <charset val="1"/>
    </font>
    <font>
      <sz val="10"/>
      <name val="Arial"/>
      <family val="0"/>
    </font>
    <font>
      <sz val="10"/>
      <name val="Arial"/>
      <family val="0"/>
    </font>
    <font>
      <sz val="10"/>
      <name val="Arial"/>
      <family val="0"/>
    </font>
    <font>
      <sz val="11"/>
      <color rgb="FFFFFFFF"/>
      <name val="Calibri"/>
      <family val="2"/>
      <charset val="1"/>
    </font>
    <font>
      <b val="true"/>
      <sz val="11"/>
      <color rgb="FF000000"/>
      <name val="Calibri"/>
      <family val="2"/>
      <charset val="1"/>
    </font>
    <font>
      <b val="true"/>
      <sz val="10"/>
      <color rgb="FFFFFFFF"/>
      <name val="Calibri"/>
      <family val="2"/>
      <charset val="1"/>
    </font>
    <font>
      <b val="true"/>
      <sz val="11"/>
      <color rgb="FFFFFFFF"/>
      <name val="Calibri"/>
      <family val="2"/>
      <charset val="1"/>
    </font>
    <font>
      <b val="true"/>
      <sz val="10"/>
      <color rgb="FF000000"/>
      <name val="Calibri"/>
      <family val="2"/>
      <charset val="1"/>
    </font>
    <font>
      <u val="single"/>
      <sz val="11"/>
      <color rgb="FF0563C1"/>
      <name val="Calibri"/>
      <family val="2"/>
      <charset val="1"/>
    </font>
    <font>
      <sz val="11"/>
      <color rgb="FFFFFFFF"/>
      <name val="Calibri"/>
      <family val="0"/>
    </font>
    <font>
      <b val="true"/>
      <sz val="11"/>
      <color rgb="FFFFFFFF"/>
      <name val="Calibri"/>
      <family val="0"/>
    </font>
    <font>
      <sz val="11"/>
      <name val="Times New Roman"/>
      <family val="0"/>
    </font>
    <font>
      <sz val="10"/>
      <name val="Calibri"/>
      <family val="2"/>
      <charset val="1"/>
    </font>
    <font>
      <sz val="7"/>
      <color rgb="FF333333"/>
      <name val="Arial"/>
      <family val="2"/>
      <charset val="1"/>
    </font>
    <font>
      <sz val="9"/>
      <color rgb="FF000000"/>
      <name val="Tahoma"/>
      <family val="2"/>
      <charset val="1"/>
    </font>
    <font>
      <b val="true"/>
      <sz val="9"/>
      <color rgb="FF000000"/>
      <name val="Tahoma"/>
      <family val="2"/>
      <charset val="1"/>
    </font>
    <font>
      <sz val="7"/>
      <color rgb="FF000000"/>
      <name val="Open Sans"/>
      <family val="0"/>
      <charset val="1"/>
    </font>
    <font>
      <sz val="7"/>
      <color rgb="FF004B91"/>
      <name val="Open Sans"/>
      <family val="0"/>
      <charset val="1"/>
    </font>
    <font>
      <sz val="11"/>
      <color rgb="FF000000"/>
      <name val="Open Sans"/>
      <family val="0"/>
      <charset val="1"/>
    </font>
    <font>
      <sz val="11"/>
      <color rgb="FF004B91"/>
      <name val="Open Sans"/>
      <family val="0"/>
      <charset val="1"/>
    </font>
    <font>
      <sz val="10"/>
      <color rgb="FF000000"/>
      <name val="Calibri"/>
      <family val="2"/>
      <charset val="1"/>
    </font>
    <font>
      <sz val="10"/>
      <color rgb="FF0000FF"/>
      <name val="Calibri"/>
      <family val="2"/>
      <charset val="1"/>
    </font>
    <font>
      <sz val="11"/>
      <name val="Calibri"/>
      <family val="2"/>
      <charset val="1"/>
    </font>
    <font>
      <b val="true"/>
      <sz val="11"/>
      <color rgb="FF1F497D"/>
      <name val="Calibri"/>
      <family val="2"/>
      <charset val="1"/>
    </font>
    <font>
      <b val="true"/>
      <sz val="11"/>
      <color rgb="FF212F3E"/>
      <name val="Calibri"/>
      <family val="2"/>
      <charset val="1"/>
    </font>
    <font>
      <u val="single"/>
      <sz val="11"/>
      <color rgb="FF4472C4"/>
      <name val="Calibri"/>
      <family val="2"/>
      <charset val="1"/>
    </font>
  </fonts>
  <fills count="9">
    <fill>
      <patternFill patternType="none"/>
    </fill>
    <fill>
      <patternFill patternType="gray125"/>
    </fill>
    <fill>
      <patternFill patternType="solid">
        <fgColor rgb="FFA9D18E"/>
        <bgColor rgb="FF9BC2E6"/>
      </patternFill>
    </fill>
    <fill>
      <patternFill patternType="solid">
        <fgColor rgb="FF4472C4"/>
        <bgColor rgb="FF666699"/>
      </patternFill>
    </fill>
    <fill>
      <patternFill patternType="solid">
        <fgColor rgb="FFF5F5F5"/>
        <bgColor rgb="FFF8F5D8"/>
      </patternFill>
    </fill>
    <fill>
      <patternFill patternType="solid">
        <fgColor rgb="FFF8F5D8"/>
        <bgColor rgb="FFF5F5F5"/>
      </patternFill>
    </fill>
    <fill>
      <patternFill patternType="solid">
        <fgColor rgb="FFFFFFFF"/>
        <bgColor rgb="FFF5F5F5"/>
      </patternFill>
    </fill>
    <fill>
      <patternFill patternType="solid">
        <fgColor rgb="FF8EA9DB"/>
        <bgColor rgb="FF9BC2E6"/>
      </patternFill>
    </fill>
    <fill>
      <patternFill patternType="solid">
        <fgColor rgb="FF9BC2E6"/>
        <bgColor rgb="FF8EA9DB"/>
      </patternFill>
    </fill>
  </fills>
  <borders count="33">
    <border diagonalUp="false" diagonalDown="false">
      <left/>
      <right/>
      <top/>
      <bottom/>
      <diagonal/>
    </border>
    <border diagonalUp="false" diagonalDown="false">
      <left style="thin">
        <color rgb="FFFFFFFF"/>
      </left>
      <right style="thin">
        <color rgb="FFFFFFFF"/>
      </right>
      <top style="thin">
        <color rgb="FFFFFFFF"/>
      </top>
      <bottom style="thin">
        <color rgb="FFFFFFFF"/>
      </bottom>
      <diagonal/>
    </border>
    <border diagonalUp="false" diagonalDown="false">
      <left style="thin">
        <color rgb="FFFFFFFF"/>
      </left>
      <right style="thin">
        <color rgb="FFFFFFFF"/>
      </right>
      <top style="thin">
        <color rgb="FFFFFFFF"/>
      </top>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diagonal/>
    </border>
    <border diagonalUp="false" diagonalDown="false">
      <left/>
      <right/>
      <top/>
      <bottom style="thin">
        <color rgb="FFFFFFFF"/>
      </bottom>
      <diagonal/>
    </border>
    <border diagonalUp="false" diagonalDown="false">
      <left/>
      <right style="thin">
        <color rgb="FFFFFFFF"/>
      </right>
      <top/>
      <bottom style="thin">
        <color rgb="FFFFFFFF"/>
      </bottom>
      <diagonal/>
    </border>
    <border diagonalUp="false" diagonalDown="false">
      <left style="thin">
        <color rgb="FFFFFFFF"/>
      </left>
      <right style="thin">
        <color rgb="FFFFFFFF"/>
      </right>
      <top/>
      <bottom style="thin">
        <color rgb="FFFFFFFF"/>
      </bottom>
      <diagonal/>
    </border>
    <border diagonalUp="false" diagonalDown="false">
      <left style="medium"/>
      <right style="thin"/>
      <top style="thin"/>
      <bottom style="thin"/>
      <diagonal/>
    </border>
    <border diagonalUp="false" diagonalDown="false">
      <left style="thin"/>
      <right/>
      <top style="thin"/>
      <bottom style="thin"/>
      <diagonal/>
    </border>
    <border diagonalUp="false" diagonalDown="false">
      <left style="thin"/>
      <right style="medium"/>
      <top style="thin"/>
      <bottom style="thin"/>
      <diagonal/>
    </border>
    <border diagonalUp="false" diagonalDown="false">
      <left/>
      <right/>
      <top style="thin">
        <color rgb="FFFFFFFF"/>
      </top>
      <bottom style="thin">
        <color rgb="FFFFFFFF"/>
      </bottom>
      <diagonal/>
    </border>
    <border diagonalUp="false" diagonalDown="false">
      <left style="thin"/>
      <right style="thin"/>
      <top/>
      <bottom style="thin"/>
      <diagonal/>
    </border>
    <border diagonalUp="false" diagonalDown="false">
      <left/>
      <right style="thin">
        <color rgb="FFFFFFFF"/>
      </right>
      <top style="thin">
        <color rgb="FFFFFFFF"/>
      </top>
      <bottom style="thin">
        <color rgb="FFFFFFFF"/>
      </bottom>
      <diagonal/>
    </border>
    <border diagonalUp="false" diagonalDown="false">
      <left style="thin"/>
      <right style="thin"/>
      <top style="thin"/>
      <bottom style="thin"/>
      <diagonal/>
    </border>
    <border diagonalUp="false" diagonalDown="false">
      <left style="medium"/>
      <right style="thin"/>
      <top style="thin"/>
      <bottom style="medium"/>
      <diagonal/>
    </border>
    <border diagonalUp="false" diagonalDown="false">
      <left style="thin"/>
      <right style="thin"/>
      <top style="thin"/>
      <bottom/>
      <diagonal/>
    </border>
    <border diagonalUp="false" diagonalDown="false">
      <left/>
      <right style="thin"/>
      <top style="thin"/>
      <bottom style="thin"/>
      <diagonal/>
    </border>
    <border diagonalUp="false" diagonalDown="false">
      <left style="thin"/>
      <right/>
      <top style="thin"/>
      <bottom/>
      <diagonal/>
    </border>
    <border diagonalUp="false" diagonalDown="false">
      <left/>
      <right style="thin"/>
      <top style="thin"/>
      <bottom/>
      <diagonal/>
    </border>
    <border diagonalUp="false" diagonalDown="false">
      <left style="medium">
        <color rgb="FFE6E6E6"/>
      </left>
      <right style="medium">
        <color rgb="FFE6E6E6"/>
      </right>
      <top style="medium">
        <color rgb="FFE6E6E6"/>
      </top>
      <bottom style="medium">
        <color rgb="FFE6E6E6"/>
      </bottom>
      <diagonal/>
    </border>
    <border diagonalUp="false" diagonalDown="false">
      <left style="medium">
        <color rgb="FFDDDAC0"/>
      </left>
      <right style="medium">
        <color rgb="FFDDDAC0"/>
      </right>
      <top style="medium">
        <color rgb="FFDDDAC0"/>
      </top>
      <bottom style="medium">
        <color rgb="FFDDDAC0"/>
      </bottom>
      <diagonal/>
    </border>
    <border diagonalUp="false" diagonalDown="false">
      <left style="thin"/>
      <right style="medium"/>
      <top style="medium"/>
      <bottom style="thin"/>
      <diagonal/>
    </border>
    <border diagonalUp="false" diagonalDown="false">
      <left style="medium"/>
      <right style="thin"/>
      <top style="thin"/>
      <bottom/>
      <diagonal/>
    </border>
    <border diagonalUp="false" diagonalDown="false">
      <left style="thin"/>
      <right style="medium"/>
      <top style="thin"/>
      <bottom/>
      <diagonal/>
    </border>
    <border diagonalUp="false" diagonalDown="false">
      <left style="medium"/>
      <right style="thin"/>
      <top/>
      <bottom/>
      <diagonal/>
    </border>
    <border diagonalUp="false" diagonalDown="false">
      <left style="thin"/>
      <right style="medium"/>
      <top/>
      <bottom/>
      <diagonal/>
    </border>
    <border diagonalUp="false" diagonalDown="false">
      <left style="thin"/>
      <right style="medium"/>
      <top/>
      <bottom style="thin"/>
      <diagonal/>
    </border>
    <border diagonalUp="false" diagonalDown="false">
      <left style="thin"/>
      <right style="medium"/>
      <top style="thin"/>
      <bottom style="medium"/>
      <diagonal/>
    </border>
    <border diagonalUp="false" diagonalDown="false">
      <left/>
      <right style="thin"/>
      <top/>
      <bottom/>
      <diagonal/>
    </border>
    <border diagonalUp="false" diagonalDown="false">
      <left/>
      <right style="thin"/>
      <top/>
      <bottom style="thin"/>
      <diagonal/>
    </border>
    <border diagonalUp="false" diagonalDown="false">
      <left style="thin"/>
      <right/>
      <top/>
      <bottom style="thin"/>
      <diagonal/>
    </border>
  </borders>
  <cellStyleXfs count="28">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9" fillId="0" borderId="0" applyFont="true" applyBorder="false" applyAlignment="true" applyProtection="false">
      <alignment horizontal="general" vertical="bottom" textRotation="0" wrapText="false" indent="0" shrinkToFit="false"/>
    </xf>
    <xf numFmtId="164" fontId="4" fillId="2"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cellStyleXfs>
  <cellXfs count="146">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center" vertical="bottom" textRotation="0" wrapText="fals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false" hidden="false"/>
    </xf>
    <xf numFmtId="164" fontId="0" fillId="0" borderId="0" xfId="0" applyFont="true" applyBorder="false" applyAlignment="false" applyProtection="true">
      <alignment horizontal="general" vertical="bottom" textRotation="0" wrapText="false" indent="0" shrinkToFit="false"/>
      <protection locked="false" hidden="false"/>
    </xf>
    <xf numFmtId="164" fontId="0" fillId="0" borderId="1" xfId="0" applyFont="false" applyBorder="true" applyAlignment="false" applyProtection="true">
      <alignment horizontal="general" vertical="bottom" textRotation="0" wrapText="false" indent="0" shrinkToFit="false"/>
      <protection locked="fals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0" borderId="2" xfId="0" applyFont="false" applyBorder="true" applyAlignment="true" applyProtection="true">
      <alignment horizontal="general" vertical="bottom" textRotation="0" wrapText="false" indent="0" shrinkToFit="false"/>
      <protection locked="false" hidden="false"/>
    </xf>
    <xf numFmtId="164" fontId="0" fillId="0" borderId="1" xfId="0" applyFont="false" applyBorder="true" applyAlignment="true" applyProtection="true">
      <alignment horizontal="general" vertical="bottom" textRotation="0" wrapText="false" indent="0" shrinkToFit="false"/>
      <protection locked="false" hidden="false"/>
    </xf>
    <xf numFmtId="164" fontId="6" fillId="3" borderId="3" xfId="0" applyFont="true" applyBorder="true" applyAlignment="true" applyProtection="true">
      <alignment horizontal="center" vertical="center" textRotation="0" wrapText="true" indent="0" shrinkToFit="false"/>
      <protection locked="false" hidden="false"/>
    </xf>
    <xf numFmtId="164" fontId="6" fillId="3" borderId="4" xfId="0" applyFont="true" applyBorder="true" applyAlignment="true" applyProtection="true">
      <alignment horizontal="center" vertical="center" textRotation="0" wrapText="true" indent="0" shrinkToFit="false"/>
      <protection locked="false" hidden="false"/>
    </xf>
    <xf numFmtId="164" fontId="6" fillId="3" borderId="5" xfId="0" applyFont="true" applyBorder="true" applyAlignment="true" applyProtection="true">
      <alignment horizontal="center" vertical="center" textRotation="0" wrapText="false" indent="0" shrinkToFit="false"/>
      <protection locked="false" hidden="false"/>
    </xf>
    <xf numFmtId="164" fontId="0" fillId="0" borderId="6" xfId="0" applyFont="false" applyBorder="true" applyAlignment="false" applyProtection="true">
      <alignment horizontal="general" vertical="bottom" textRotation="0" wrapText="false" indent="0" shrinkToFit="false"/>
      <protection locked="false" hidden="false"/>
    </xf>
    <xf numFmtId="164" fontId="7" fillId="0" borderId="1" xfId="0" applyFont="true" applyBorder="true" applyAlignment="true" applyProtection="true">
      <alignment horizontal="center" vertical="center" textRotation="0" wrapText="false" indent="0" shrinkToFit="false"/>
      <protection locked="false" hidden="false"/>
    </xf>
    <xf numFmtId="164" fontId="0" fillId="0" borderId="7" xfId="0" applyFont="false" applyBorder="true" applyAlignment="false" applyProtection="true">
      <alignment horizontal="general" vertical="bottom" textRotation="0" wrapText="false" indent="0" shrinkToFit="false"/>
      <protection locked="false" hidden="false"/>
    </xf>
    <xf numFmtId="164" fontId="0" fillId="0" borderId="8" xfId="0" applyFont="false" applyBorder="true" applyAlignment="false" applyProtection="true">
      <alignment horizontal="general" vertical="bottom" textRotation="0" wrapText="false" indent="0" shrinkToFit="false"/>
      <protection locked="false" hidden="false"/>
    </xf>
    <xf numFmtId="164" fontId="0" fillId="0" borderId="9" xfId="0" applyFont="true" applyBorder="true" applyAlignment="true" applyProtection="true">
      <alignment horizontal="center" vertical="bottom" textRotation="0" wrapText="false" indent="0" shrinkToFit="false"/>
      <protection locked="false" hidden="false"/>
    </xf>
    <xf numFmtId="165" fontId="0" fillId="0" borderId="10" xfId="0" applyFont="false" applyBorder="true" applyAlignment="true" applyProtection="true">
      <alignment horizontal="center" vertical="bottom" textRotation="0" wrapText="false" indent="0" shrinkToFit="false"/>
      <protection locked="true" hidden="false"/>
    </xf>
    <xf numFmtId="165" fontId="0" fillId="0" borderId="11" xfId="0" applyFont="true" applyBorder="true" applyAlignment="true" applyProtection="true">
      <alignment horizontal="center" vertical="bottom" textRotation="0" wrapText="false" indent="0" shrinkToFit="false"/>
      <protection locked="true" hidden="false"/>
    </xf>
    <xf numFmtId="164" fontId="0" fillId="0" borderId="12" xfId="0" applyFont="false" applyBorder="true" applyAlignment="false" applyProtection="true">
      <alignment horizontal="general" vertical="bottom" textRotation="0" wrapText="false" indent="0" shrinkToFit="false"/>
      <protection locked="false" hidden="false"/>
    </xf>
    <xf numFmtId="164" fontId="7" fillId="3" borderId="13" xfId="0" applyFont="true" applyBorder="true" applyAlignment="true" applyProtection="true">
      <alignment horizontal="center" vertical="center" textRotation="0" wrapText="false" indent="0" shrinkToFit="false"/>
      <protection locked="false" hidden="false"/>
    </xf>
    <xf numFmtId="164" fontId="0" fillId="0" borderId="14" xfId="0" applyFont="false" applyBorder="true" applyAlignment="false" applyProtection="true">
      <alignment horizontal="general" vertical="bottom" textRotation="0" wrapText="false" indent="0" shrinkToFit="false"/>
      <protection locked="false" hidden="false"/>
    </xf>
    <xf numFmtId="164" fontId="8" fillId="0" borderId="15" xfId="0" applyFont="true" applyBorder="true" applyAlignment="true" applyProtection="true">
      <alignment horizontal="center" vertical="center" textRotation="0" wrapText="false" indent="0" shrinkToFit="false"/>
      <protection locked="false" hidden="false"/>
    </xf>
    <xf numFmtId="164" fontId="7" fillId="3" borderId="15" xfId="0" applyFont="true" applyBorder="true" applyAlignment="true" applyProtection="true">
      <alignment horizontal="center" vertical="center" textRotation="0" wrapText="false" indent="0" shrinkToFit="false"/>
      <protection locked="false" hidden="false"/>
    </xf>
    <xf numFmtId="164" fontId="9" fillId="0" borderId="1" xfId="20" applyFont="false" applyBorder="true" applyAlignment="true" applyProtection="true">
      <alignment horizontal="general" vertical="bottom" textRotation="0" wrapText="false" indent="0" shrinkToFit="false"/>
      <protection locked="false" hidden="false"/>
    </xf>
    <xf numFmtId="164" fontId="0" fillId="0" borderId="16" xfId="0" applyFont="false" applyBorder="true" applyAlignment="true" applyProtection="true">
      <alignment horizontal="center" vertical="bottom" textRotation="0" wrapText="false" indent="0" shrinkToFit="false"/>
      <protection locked="false" hidden="false"/>
    </xf>
    <xf numFmtId="164" fontId="0" fillId="0" borderId="15" xfId="0" applyFont="true" applyBorder="true" applyAlignment="true" applyProtection="false">
      <alignment horizontal="left" vertical="bottom" textRotation="0" wrapText="false" indent="0" shrinkToFit="false"/>
      <protection locked="true" hidden="false"/>
    </xf>
    <xf numFmtId="166" fontId="0" fillId="0" borderId="15" xfId="0" applyFont="true" applyBorder="true" applyAlignment="true" applyProtection="false">
      <alignment horizontal="left" vertical="bottom"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0" fillId="0" borderId="0" xfId="0" applyFont="false" applyBorder="true" applyAlignment="true" applyProtection="false">
      <alignment horizontal="general" vertical="bottom" textRotation="0" wrapText="false" indent="0" shrinkToFit="false"/>
      <protection locked="true" hidden="false"/>
    </xf>
    <xf numFmtId="166" fontId="0" fillId="0" borderId="0" xfId="0" applyFont="false" applyBorder="true" applyAlignment="true" applyProtection="false">
      <alignment horizontal="general" vertical="bottom" textRotation="0" wrapText="false" indent="0" shrinkToFit="false"/>
      <protection locked="true" hidden="false"/>
    </xf>
    <xf numFmtId="164" fontId="6" fillId="3" borderId="15" xfId="0" applyFont="true" applyBorder="true" applyAlignment="true" applyProtection="false">
      <alignment horizontal="center" vertical="center" textRotation="0" wrapText="true" indent="0" shrinkToFit="false"/>
      <protection locked="true" hidden="false"/>
    </xf>
    <xf numFmtId="164" fontId="6" fillId="3" borderId="17" xfId="0" applyFont="true" applyBorder="true" applyAlignment="true" applyProtection="false">
      <alignment horizontal="center" vertical="center" textRotation="0" wrapText="true" indent="0" shrinkToFit="false"/>
      <protection locked="true" hidden="false"/>
    </xf>
    <xf numFmtId="166" fontId="6" fillId="3" borderId="15" xfId="0" applyFont="true" applyBorder="true" applyAlignment="true" applyProtection="false">
      <alignment horizontal="center" vertical="center" textRotation="0" wrapText="true" indent="0" shrinkToFit="false"/>
      <protection locked="true" hidden="false"/>
    </xf>
    <xf numFmtId="164" fontId="0" fillId="0" borderId="18" xfId="0" applyFont="true" applyBorder="true" applyAlignment="true" applyProtection="false">
      <alignment horizontal="left" vertical="bottom" textRotation="0" wrapText="false" indent="0" shrinkToFit="false"/>
      <protection locked="true" hidden="false"/>
    </xf>
    <xf numFmtId="164" fontId="0" fillId="0" borderId="19" xfId="0" applyFont="true" applyBorder="true" applyAlignment="true" applyProtection="false">
      <alignment horizontal="left" vertical="bottom" textRotation="0" wrapText="false" indent="0" shrinkToFit="false"/>
      <protection locked="true" hidden="false"/>
    </xf>
    <xf numFmtId="164" fontId="0" fillId="0" borderId="15" xfId="0" applyFont="true" applyBorder="true" applyAlignment="true" applyProtection="true">
      <alignment horizontal="center" vertical="bottom" textRotation="0" wrapText="false" indent="0" shrinkToFit="false"/>
      <protection locked="false" hidden="false"/>
    </xf>
    <xf numFmtId="164" fontId="9" fillId="0" borderId="17" xfId="20" applyFont="true" applyBorder="true" applyAlignment="true" applyProtection="true">
      <alignment horizontal="left" vertical="bottom" textRotation="0" wrapText="false" indent="0" shrinkToFit="false"/>
      <protection locked="true" hidden="false"/>
    </xf>
    <xf numFmtId="164" fontId="0" fillId="0" borderId="17" xfId="0" applyFont="true" applyBorder="true" applyAlignment="true" applyProtection="false">
      <alignment horizontal="left" vertical="bottom" textRotation="0" wrapText="false" indent="0" shrinkToFit="false"/>
      <protection locked="true" hidden="false"/>
    </xf>
    <xf numFmtId="166" fontId="0" fillId="0" borderId="17" xfId="20" applyFont="true" applyBorder="true" applyAlignment="true" applyProtection="true">
      <alignment horizontal="left" vertical="bottom" textRotation="0" wrapText="false" indent="0" shrinkToFit="false"/>
      <protection locked="true" hidden="false"/>
    </xf>
    <xf numFmtId="166" fontId="9" fillId="0" borderId="17" xfId="20" applyFont="true" applyBorder="true" applyAlignment="true" applyProtection="true">
      <alignment horizontal="left" vertical="bottom" textRotation="0" wrapText="false" indent="0" shrinkToFit="false"/>
      <protection locked="true" hidden="false"/>
    </xf>
    <xf numFmtId="164" fontId="0" fillId="0" borderId="15" xfId="0" applyFont="true" applyBorder="true" applyAlignment="true" applyProtection="false">
      <alignment horizontal="left" vertical="center" textRotation="0" wrapText="false" indent="0" shrinkToFit="false"/>
      <protection locked="true" hidden="false"/>
    </xf>
    <xf numFmtId="164" fontId="0" fillId="0" borderId="10" xfId="0" applyFont="true" applyBorder="true" applyAlignment="true" applyProtection="false">
      <alignment horizontal="left" vertical="bottom" textRotation="0" wrapText="false" indent="0" shrinkToFit="false"/>
      <protection locked="true" hidden="false"/>
    </xf>
    <xf numFmtId="164" fontId="0" fillId="0" borderId="15" xfId="0" applyFont="true" applyBorder="true" applyAlignment="true" applyProtection="false">
      <alignment horizontal="center" vertical="center" textRotation="0" wrapText="false" indent="0" shrinkToFit="false"/>
      <protection locked="true" hidden="false"/>
    </xf>
    <xf numFmtId="164" fontId="9" fillId="0" borderId="15" xfId="20" applyFont="true" applyBorder="true" applyAlignment="true" applyProtection="true">
      <alignment horizontal="left" vertical="center" textRotation="0" wrapText="false" indent="0" shrinkToFit="false"/>
      <protection locked="true" hidden="false"/>
    </xf>
    <xf numFmtId="164" fontId="9" fillId="0" borderId="15" xfId="20" applyFont="false" applyBorder="true" applyAlignment="true" applyProtection="true">
      <alignment horizontal="left" vertical="bottom" textRotation="0" wrapText="false" indent="0" shrinkToFit="false"/>
      <protection locked="true" hidden="false"/>
    </xf>
    <xf numFmtId="164" fontId="0" fillId="0" borderId="17" xfId="20" applyFont="true" applyBorder="true" applyAlignment="true" applyProtection="true">
      <alignment horizontal="left" vertical="bottom" textRotation="0" wrapText="false" indent="0" shrinkToFit="false"/>
      <protection locked="true" hidden="false"/>
    </xf>
    <xf numFmtId="164" fontId="13" fillId="0" borderId="15" xfId="0" applyFont="true" applyBorder="true" applyAlignment="true" applyProtection="false">
      <alignment horizontal="left" vertical="bottom" textRotation="0" wrapText="false" indent="0" shrinkToFit="false"/>
      <protection locked="true" hidden="false"/>
    </xf>
    <xf numFmtId="164" fontId="9" fillId="0" borderId="10" xfId="20" applyFont="false" applyBorder="true" applyAlignment="true" applyProtection="true">
      <alignment horizontal="left" vertical="bottom" textRotation="0" wrapText="false" indent="0" shrinkToFit="false"/>
      <protection locked="true" hidden="false"/>
    </xf>
    <xf numFmtId="164" fontId="0" fillId="0" borderId="15" xfId="0" applyFont="false" applyBorder="true" applyAlignment="false" applyProtection="false">
      <alignment horizontal="general" vertical="bottom" textRotation="0" wrapText="false" indent="0" shrinkToFit="false"/>
      <protection locked="true" hidden="false"/>
    </xf>
    <xf numFmtId="164" fontId="14" fillId="0" borderId="15" xfId="0" applyFont="true" applyBorder="true" applyAlignment="true" applyProtection="false">
      <alignment horizontal="left" vertical="bottom" textRotation="0" wrapText="false" indent="0" shrinkToFit="false"/>
      <protection locked="true" hidden="false"/>
    </xf>
    <xf numFmtId="164" fontId="9" fillId="0" borderId="15" xfId="20" applyFont="true" applyBorder="true" applyAlignment="true" applyProtection="true">
      <alignment horizontal="left" vertical="bottom" textRotation="0" wrapText="false" indent="0" shrinkToFit="false"/>
      <protection locked="true" hidden="false"/>
    </xf>
    <xf numFmtId="164" fontId="14" fillId="0" borderId="15" xfId="0" applyFont="true" applyBorder="true" applyAlignment="true" applyProtection="false">
      <alignment horizontal="left" vertical="top" textRotation="0" wrapText="true" indent="0" shrinkToFit="false"/>
      <protection locked="true" hidden="false"/>
    </xf>
    <xf numFmtId="164" fontId="0" fillId="0" borderId="20" xfId="0" applyFont="true" applyBorder="true" applyAlignment="true" applyProtection="false">
      <alignment horizontal="left" vertical="bottom" textRotation="0" wrapText="false" indent="0" shrinkToFit="false"/>
      <protection locked="true" hidden="false"/>
    </xf>
    <xf numFmtId="164" fontId="14" fillId="0" borderId="17" xfId="0" applyFont="true" applyBorder="true" applyAlignment="true" applyProtection="false">
      <alignment horizontal="left" vertical="bottom" textRotation="0" wrapText="false" indent="0" shrinkToFit="false"/>
      <protection locked="true" hidden="false"/>
    </xf>
    <xf numFmtId="166" fontId="0" fillId="0" borderId="17" xfId="0" applyFont="true" applyBorder="true" applyAlignment="true" applyProtection="false">
      <alignment horizontal="left" vertical="bottom" textRotation="0" wrapText="false" indent="0" shrinkToFit="false"/>
      <protection locked="true" hidden="false"/>
    </xf>
    <xf numFmtId="164" fontId="0" fillId="0" borderId="17" xfId="0" applyFont="true" applyBorder="true" applyAlignment="true" applyProtection="false">
      <alignment horizontal="left" vertical="center"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false" hidden="false"/>
    </xf>
    <xf numFmtId="164" fontId="6" fillId="3" borderId="15" xfId="0" applyFont="true" applyBorder="true" applyAlignment="true" applyProtection="true">
      <alignment horizontal="center" vertical="center" textRotation="0" wrapText="true" indent="0" shrinkToFit="false"/>
      <protection locked="false" hidden="false"/>
    </xf>
    <xf numFmtId="166" fontId="6" fillId="3" borderId="15" xfId="0" applyFont="true" applyBorder="true" applyAlignment="true" applyProtection="true">
      <alignment horizontal="center" vertical="center" textRotation="0" wrapText="true" indent="0" shrinkToFit="false"/>
      <protection locked="fals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4" fontId="9" fillId="0" borderId="0" xfId="20" applyFont="true" applyBorder="true" applyAlignment="true" applyProtection="true">
      <alignment horizontal="general" vertical="bottom" textRotation="0" wrapText="false" indent="0" shrinkToFit="false"/>
      <protection locked="false" hidden="false"/>
    </xf>
    <xf numFmtId="166" fontId="9" fillId="0" borderId="17" xfId="20" applyFont="true" applyBorder="true" applyAlignment="true" applyProtection="true">
      <alignment horizontal="left" vertical="bottom" textRotation="0" wrapText="false" indent="0" shrinkToFit="false"/>
      <protection locked="false" hidden="false"/>
    </xf>
    <xf numFmtId="164" fontId="0" fillId="0" borderId="21" xfId="0" applyFont="true" applyBorder="true" applyAlignment="true" applyProtection="false">
      <alignment horizontal="center" vertical="center" textRotation="0" wrapText="false" indent="0" shrinkToFit="false"/>
      <protection locked="true" hidden="false"/>
    </xf>
    <xf numFmtId="164" fontId="9" fillId="0" borderId="21" xfId="20" applyFont="true" applyBorder="true" applyAlignment="true" applyProtection="true">
      <alignment horizontal="center" vertical="center" textRotation="0" wrapText="false" indent="0" shrinkToFit="false"/>
      <protection locked="true" hidden="false"/>
    </xf>
    <xf numFmtId="164" fontId="0" fillId="0" borderId="21" xfId="0" applyFont="true" applyBorder="true" applyAlignment="true" applyProtection="false">
      <alignment horizontal="left" vertical="center" textRotation="0" wrapText="tru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67" fontId="0" fillId="0" borderId="21" xfId="0" applyFont="false" applyBorder="true" applyAlignment="true" applyProtection="false">
      <alignment horizontal="center" vertical="center" textRotation="0" wrapText="false" indent="0" shrinkToFit="false"/>
      <protection locked="true" hidden="false"/>
    </xf>
    <xf numFmtId="164" fontId="0" fillId="4" borderId="21" xfId="0" applyFont="true" applyBorder="true" applyAlignment="true" applyProtection="false">
      <alignment horizontal="center" vertical="center" textRotation="0" wrapText="false" indent="0" shrinkToFit="false"/>
      <protection locked="true" hidden="false"/>
    </xf>
    <xf numFmtId="164" fontId="9" fillId="0" borderId="0" xfId="20" applyFont="true" applyBorder="true" applyAlignment="true" applyProtection="true">
      <alignment horizontal="left" vertical="bottom" textRotation="0" wrapText="false" indent="0" shrinkToFit="false"/>
      <protection locked="true" hidden="false"/>
    </xf>
    <xf numFmtId="164" fontId="0" fillId="0" borderId="15" xfId="0" applyFont="true" applyBorder="true" applyAlignment="true" applyProtection="true">
      <alignment horizontal="center" vertical="center" textRotation="0" wrapText="false" indent="0" shrinkToFit="false"/>
      <protection locked="false" hidden="false"/>
    </xf>
    <xf numFmtId="166" fontId="9" fillId="0" borderId="17" xfId="20" applyFont="true" applyBorder="true" applyAlignment="true" applyProtection="true">
      <alignment horizontal="center" vertical="center" textRotation="0" wrapText="false" indent="0" shrinkToFit="false"/>
      <protection locked="true" hidden="false"/>
    </xf>
    <xf numFmtId="166" fontId="0" fillId="0" borderId="15" xfId="0" applyFont="true" applyBorder="true" applyAlignment="true" applyProtection="false">
      <alignment horizontal="center" vertical="center" textRotation="0" wrapText="false" indent="0" shrinkToFit="false"/>
      <protection locked="true" hidden="false"/>
    </xf>
    <xf numFmtId="164" fontId="5" fillId="0" borderId="21" xfId="0" applyFont="true" applyBorder="true" applyAlignment="true" applyProtection="false">
      <alignment horizontal="center" vertical="center" textRotation="0" wrapText="false" indent="0" shrinkToFit="false"/>
      <protection locked="true" hidden="false"/>
    </xf>
    <xf numFmtId="164" fontId="0" fillId="0" borderId="21" xfId="0" applyFont="false" applyBorder="true" applyAlignment="true" applyProtection="false">
      <alignment horizontal="left" vertical="bottom" textRotation="0" wrapText="false" indent="0" shrinkToFit="false"/>
      <protection locked="true" hidden="false"/>
    </xf>
    <xf numFmtId="164" fontId="0" fillId="0" borderId="21" xfId="0" applyFont="false" applyBorder="true" applyAlignment="true" applyProtection="false">
      <alignment horizontal="left" vertical="center" textRotation="0" wrapText="false" indent="0" shrinkToFit="false"/>
      <protection locked="true" hidden="false"/>
    </xf>
    <xf numFmtId="164" fontId="9" fillId="0" borderId="21" xfId="20" applyFont="false" applyBorder="true" applyAlignment="true" applyProtection="true">
      <alignment horizontal="left" vertical="center" textRotation="0" wrapText="false" indent="0" shrinkToFit="false"/>
      <protection locked="true" hidden="false"/>
    </xf>
    <xf numFmtId="164" fontId="0" fillId="0" borderId="1" xfId="0" applyFont="false" applyBorder="true" applyAlignment="false" applyProtection="false">
      <alignment horizontal="general" vertical="bottom"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0" fillId="0" borderId="6" xfId="0" applyFont="fals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17" fillId="5" borderId="22" xfId="0" applyFont="true" applyBorder="true" applyAlignment="true" applyProtection="false">
      <alignment horizontal="general" vertical="center" textRotation="0" wrapText="true" indent="0" shrinkToFit="false"/>
      <protection locked="true" hidden="false"/>
    </xf>
    <xf numFmtId="164" fontId="18" fillId="5" borderId="22" xfId="0" applyFont="true" applyBorder="true" applyAlignment="true" applyProtection="false">
      <alignment horizontal="center" vertical="center" textRotation="0" wrapText="true" indent="0" shrinkToFit="false"/>
      <protection locked="true" hidden="false"/>
    </xf>
    <xf numFmtId="164" fontId="17" fillId="6" borderId="22" xfId="0" applyFont="true" applyBorder="true" applyAlignment="true" applyProtection="false">
      <alignment horizontal="general" vertical="center" textRotation="0" wrapText="true" indent="0" shrinkToFit="false"/>
      <protection locked="true" hidden="false"/>
    </xf>
    <xf numFmtId="164" fontId="18" fillId="6" borderId="22" xfId="0" applyFont="true" applyBorder="true" applyAlignment="true" applyProtection="false">
      <alignment horizontal="center" vertical="center" textRotation="0" wrapText="true" indent="0" shrinkToFit="false"/>
      <protection locked="true" hidden="false"/>
    </xf>
    <xf numFmtId="164" fontId="0" fillId="6" borderId="0" xfId="0" applyFont="false" applyBorder="false" applyAlignment="false" applyProtection="false">
      <alignment horizontal="general" vertical="bottom" textRotation="0" wrapText="false" indent="0" shrinkToFit="false"/>
      <protection locked="true" hidden="false"/>
    </xf>
    <xf numFmtId="164" fontId="0" fillId="0" borderId="3" xfId="24" applyFont="true" applyBorder="true" applyAlignment="false" applyProtection="false">
      <alignment horizontal="general" vertical="bottom" textRotation="0" wrapText="false" indent="0" shrinkToFit="false"/>
      <protection locked="true" hidden="false"/>
    </xf>
    <xf numFmtId="164" fontId="0" fillId="0" borderId="23" xfId="23" applyFont="true" applyBorder="true" applyAlignment="false" applyProtection="false">
      <alignment horizontal="general" vertical="bottom" textRotation="0" wrapText="false" indent="0" shrinkToFit="false"/>
      <protection locked="true" hidden="false"/>
    </xf>
    <xf numFmtId="164" fontId="19" fillId="0" borderId="22" xfId="0" applyFont="true" applyBorder="true" applyAlignment="true" applyProtection="false">
      <alignment horizontal="general" vertical="center" textRotation="0" wrapText="true" indent="0" shrinkToFit="false"/>
      <protection locked="true" hidden="false"/>
    </xf>
    <xf numFmtId="164" fontId="20" fillId="0" borderId="22" xfId="0" applyFont="true" applyBorder="true" applyAlignment="true" applyProtection="false">
      <alignment horizontal="center" vertical="center" textRotation="0" wrapText="true" indent="0" shrinkToFit="false"/>
      <protection locked="true" hidden="false"/>
    </xf>
    <xf numFmtId="164" fontId="0" fillId="0" borderId="24" xfId="22" applyFont="true" applyBorder="true" applyAlignment="false" applyProtection="false">
      <alignment horizontal="left" vertical="bottom" textRotation="0" wrapText="false" indent="0" shrinkToFit="false"/>
      <protection locked="true" hidden="false"/>
    </xf>
    <xf numFmtId="164" fontId="0" fillId="0" borderId="25" xfId="27" applyFont="false" applyBorder="true" applyAlignment="false" applyProtection="false">
      <alignment horizontal="general" vertical="bottom" textRotation="0" wrapText="false" indent="0" shrinkToFit="false"/>
      <protection locked="true" hidden="false"/>
    </xf>
    <xf numFmtId="164" fontId="0" fillId="0" borderId="26" xfId="22" applyFont="true" applyBorder="true" applyAlignment="false" applyProtection="false">
      <alignment horizontal="left" vertical="bottom" textRotation="0" wrapText="false" indent="0" shrinkToFit="false"/>
      <protection locked="true" hidden="false"/>
    </xf>
    <xf numFmtId="164" fontId="0" fillId="0" borderId="27" xfId="27" applyFont="false" applyBorder="true" applyAlignment="false" applyProtection="false">
      <alignment horizontal="general" vertical="bottom" textRotation="0" wrapText="false" indent="0" shrinkToFit="false"/>
      <protection locked="true" hidden="false"/>
    </xf>
    <xf numFmtId="164" fontId="0" fillId="0" borderId="28" xfId="27" applyFont="false" applyBorder="true" applyAlignment="false" applyProtection="false">
      <alignment horizontal="general" vertical="bottom" textRotation="0" wrapText="false" indent="0" shrinkToFit="false"/>
      <protection locked="true" hidden="false"/>
    </xf>
    <xf numFmtId="164" fontId="5" fillId="0" borderId="16" xfId="26" applyFont="true" applyBorder="true" applyAlignment="false" applyProtection="false">
      <alignment horizontal="left" vertical="bottom" textRotation="0" wrapText="false" indent="0" shrinkToFit="false"/>
      <protection locked="true" hidden="false"/>
    </xf>
    <xf numFmtId="164" fontId="5" fillId="0" borderId="29" xfId="25" applyFont="false" applyBorder="true" applyAlignment="false" applyProtection="false">
      <alignment horizontal="general" vertical="bottom" textRotation="0" wrapText="false" indent="0" shrinkToFit="false"/>
      <protection locked="true" hidden="false"/>
    </xf>
    <xf numFmtId="164" fontId="21" fillId="0" borderId="15" xfId="0" applyFont="true" applyBorder="true" applyAlignment="true" applyProtection="false">
      <alignment horizontal="left" vertical="bottom" textRotation="0" wrapText="false" indent="0" shrinkToFit="false"/>
      <protection locked="true" hidden="false"/>
    </xf>
    <xf numFmtId="164" fontId="13" fillId="0" borderId="15" xfId="0" applyFont="true" applyBorder="true" applyAlignment="true" applyProtection="false">
      <alignment horizontal="left" vertical="center" textRotation="0" wrapText="false" indent="0" shrinkToFit="false"/>
      <protection locked="true" hidden="false"/>
    </xf>
    <xf numFmtId="164" fontId="22" fillId="0" borderId="15" xfId="0" applyFont="true" applyBorder="true" applyAlignment="true" applyProtection="false">
      <alignment horizontal="left" vertical="center" textRotation="0" wrapText="false" indent="0" shrinkToFit="false"/>
      <protection locked="true" hidden="false"/>
    </xf>
    <xf numFmtId="164" fontId="0" fillId="0" borderId="0" xfId="0" applyFont="true" applyBorder="true" applyAlignment="true" applyProtection="false">
      <alignment horizontal="center" vertical="center" textRotation="0" wrapText="false" indent="0" shrinkToFit="false"/>
      <protection locked="true" hidden="false"/>
    </xf>
    <xf numFmtId="164" fontId="0" fillId="0" borderId="14" xfId="0" applyFont="false" applyBorder="true" applyAlignment="false" applyProtection="false">
      <alignment horizontal="general" vertical="bottom" textRotation="0" wrapText="false" indent="0" shrinkToFit="false"/>
      <protection locked="true" hidden="false"/>
    </xf>
    <xf numFmtId="164" fontId="0" fillId="0" borderId="15" xfId="0" applyFont="true" applyBorder="true" applyAlignment="true" applyProtection="false">
      <alignment horizontal="general" vertical="center" textRotation="0" wrapText="false" indent="0" shrinkToFit="false"/>
      <protection locked="true" hidden="false"/>
    </xf>
    <xf numFmtId="164" fontId="23" fillId="0" borderId="15" xfId="20" applyFont="true" applyBorder="true" applyAlignment="true" applyProtection="true">
      <alignment horizontal="left" vertical="bottom" textRotation="0" wrapText="false" indent="0" shrinkToFit="false"/>
      <protection locked="true" hidden="false"/>
    </xf>
    <xf numFmtId="164" fontId="5" fillId="0" borderId="15" xfId="0" applyFont="true" applyBorder="true" applyAlignment="true" applyProtection="false">
      <alignment horizontal="left" vertical="center" textRotation="0" wrapText="false" indent="0" shrinkToFit="false"/>
      <protection locked="true" hidden="false"/>
    </xf>
    <xf numFmtId="164" fontId="0" fillId="0" borderId="15" xfId="0" applyFont="false" applyBorder="true" applyAlignment="true" applyProtection="false">
      <alignment horizontal="left" vertical="bottom" textRotation="0" wrapText="false" indent="0" shrinkToFit="false"/>
      <protection locked="true" hidden="false"/>
    </xf>
    <xf numFmtId="164" fontId="5" fillId="0" borderId="15" xfId="0" applyFont="true" applyBorder="true" applyAlignment="true" applyProtection="false">
      <alignment horizontal="left" vertical="bottom" textRotation="0" wrapText="false" indent="0" shrinkToFit="false"/>
      <protection locked="true" hidden="false"/>
    </xf>
    <xf numFmtId="164" fontId="23" fillId="0" borderId="15" xfId="0" applyFont="true" applyBorder="true" applyAlignment="true" applyProtection="false">
      <alignment horizontal="left" vertical="bottom" textRotation="0" wrapText="false" indent="0" shrinkToFit="false"/>
      <protection locked="true" hidden="false"/>
    </xf>
    <xf numFmtId="164" fontId="0" fillId="0" borderId="30" xfId="0" applyFont="true" applyBorder="true" applyAlignment="true" applyProtection="false">
      <alignment horizontal="general" vertical="center" textRotation="0" wrapText="false" indent="0" shrinkToFit="false"/>
      <protection locked="true" hidden="false"/>
    </xf>
    <xf numFmtId="164" fontId="25" fillId="0" borderId="15" xfId="0" applyFont="true" applyBorder="true" applyAlignment="true" applyProtection="false">
      <alignment horizontal="left" vertical="center" textRotation="0" wrapText="false" indent="0" shrinkToFit="false"/>
      <protection locked="true" hidden="false"/>
    </xf>
    <xf numFmtId="164" fontId="5" fillId="0" borderId="0" xfId="0" applyFont="true" applyBorder="false" applyAlignment="true" applyProtection="false">
      <alignment horizontal="general" vertical="center"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center" vertical="bottom" textRotation="0" wrapText="false" indent="0" shrinkToFit="false"/>
      <protection locked="true" hidden="false"/>
    </xf>
    <xf numFmtId="164" fontId="5" fillId="7" borderId="31" xfId="0" applyFont="true" applyBorder="true" applyAlignment="true" applyProtection="true">
      <alignment horizontal="center" vertical="center" textRotation="0" wrapText="false" indent="0" shrinkToFit="false"/>
      <protection locked="false" hidden="false"/>
    </xf>
    <xf numFmtId="164" fontId="5" fillId="8" borderId="13" xfId="0" applyFont="true" applyBorder="true" applyAlignment="true" applyProtection="true">
      <alignment horizontal="center" vertical="center" textRotation="0" wrapText="true" indent="0" shrinkToFit="false"/>
      <protection locked="false" hidden="false"/>
    </xf>
    <xf numFmtId="164" fontId="5" fillId="7" borderId="13" xfId="0" applyFont="true" applyBorder="true" applyAlignment="true" applyProtection="true">
      <alignment horizontal="center" vertical="center" textRotation="0" wrapText="false" indent="0" shrinkToFit="false"/>
      <protection locked="false" hidden="false"/>
    </xf>
    <xf numFmtId="166" fontId="5" fillId="7" borderId="13" xfId="0" applyFont="true" applyBorder="true" applyAlignment="true" applyProtection="true">
      <alignment horizontal="center" vertical="center" textRotation="0" wrapText="false" indent="0" shrinkToFit="false"/>
      <protection locked="false" hidden="false"/>
    </xf>
    <xf numFmtId="164" fontId="5" fillId="7" borderId="32" xfId="0" applyFont="true" applyBorder="true" applyAlignment="true" applyProtection="true">
      <alignment horizontal="center" vertical="center" textRotation="0" wrapText="false" indent="0" shrinkToFit="false"/>
      <protection locked="false" hidden="false"/>
    </xf>
    <xf numFmtId="165" fontId="0" fillId="0" borderId="18" xfId="0" applyFont="false" applyBorder="true" applyAlignment="true" applyProtection="true">
      <alignment horizontal="center" vertical="bottom" textRotation="0" wrapText="false" indent="0" shrinkToFit="false"/>
      <protection locked="true" hidden="false"/>
    </xf>
    <xf numFmtId="165" fontId="0" fillId="0" borderId="15" xfId="0" applyFont="false" applyBorder="true" applyAlignment="true" applyProtection="true">
      <alignment horizontal="center" vertical="center" textRotation="0" wrapText="false" indent="0" shrinkToFit="false"/>
      <protection locked="true" hidden="false"/>
    </xf>
    <xf numFmtId="166" fontId="0" fillId="0" borderId="15" xfId="0" applyFont="false" applyBorder="true" applyAlignment="true" applyProtection="true">
      <alignment horizontal="center" vertical="center" textRotation="0" wrapText="false" indent="0" shrinkToFit="false"/>
      <protection locked="true" hidden="false"/>
    </xf>
    <xf numFmtId="164" fontId="9" fillId="0" borderId="15" xfId="20" applyFont="false" applyBorder="true" applyAlignment="true" applyProtection="true">
      <alignment horizontal="center" vertical="center" textRotation="0" wrapText="false" indent="0" shrinkToFit="false"/>
      <protection locked="true" hidden="false"/>
    </xf>
    <xf numFmtId="167" fontId="0" fillId="0" borderId="15" xfId="0" applyFont="false" applyBorder="true" applyAlignment="true" applyProtection="true">
      <alignment horizontal="center" vertical="center" textRotation="0" wrapText="false" indent="0" shrinkToFit="false"/>
      <protection locked="true" hidden="false"/>
    </xf>
    <xf numFmtId="165" fontId="5" fillId="0" borderId="10" xfId="0" applyFont="true" applyBorder="true" applyAlignment="false" applyProtection="true">
      <alignment horizontal="general" vertical="bottom" textRotation="0" wrapText="false" indent="0" shrinkToFit="false"/>
      <protection locked="true" hidden="false"/>
    </xf>
    <xf numFmtId="164" fontId="0" fillId="0" borderId="18" xfId="0" applyFont="false" applyBorder="true" applyAlignment="false" applyProtection="true">
      <alignment horizontal="general" vertical="bottom" textRotation="0" wrapText="false" indent="0" shrinkToFit="false"/>
      <protection locked="true" hidden="false"/>
    </xf>
    <xf numFmtId="164" fontId="0" fillId="0" borderId="18" xfId="0" applyFont="false" applyBorder="true" applyAlignment="true" applyProtection="true">
      <alignment horizontal="center" vertical="center" textRotation="0" wrapText="false" indent="0" shrinkToFit="false"/>
      <protection locked="true" hidden="false"/>
    </xf>
    <xf numFmtId="164" fontId="0" fillId="0" borderId="15" xfId="0" applyFont="false" applyBorder="true" applyAlignment="true" applyProtection="true">
      <alignment horizontal="center" vertical="center" textRotation="0" wrapText="false" indent="0" shrinkToFit="false"/>
      <protection locked="true" hidden="false"/>
    </xf>
    <xf numFmtId="164" fontId="26" fillId="0" borderId="15" xfId="20" applyFont="true" applyBorder="true" applyAlignment="true" applyProtection="true">
      <alignment horizontal="center" vertical="center" textRotation="0" wrapText="false" indent="0" shrinkToFit="false"/>
      <protection locked="true" hidden="false"/>
    </xf>
    <xf numFmtId="164" fontId="5" fillId="0" borderId="10" xfId="0" applyFont="true" applyBorder="true" applyAlignment="false" applyProtection="true">
      <alignment horizontal="general" vertical="bottom" textRotation="0" wrapText="false" indent="0" shrinkToFit="false"/>
      <protection locked="true" hidden="false"/>
    </xf>
    <xf numFmtId="164" fontId="0" fillId="0" borderId="20" xfId="0" applyFont="false" applyBorder="true" applyAlignment="false" applyProtection="true">
      <alignment horizontal="general" vertical="bottom" textRotation="0" wrapText="false" indent="0" shrinkToFit="false"/>
      <protection locked="true" hidden="false"/>
    </xf>
    <xf numFmtId="164" fontId="0" fillId="0" borderId="20" xfId="0" applyFont="false" applyBorder="true" applyAlignment="true" applyProtection="true">
      <alignment horizontal="center" vertical="center" textRotation="0" wrapText="false" indent="0" shrinkToFit="false"/>
      <protection locked="true" hidden="false"/>
    </xf>
    <xf numFmtId="164" fontId="0" fillId="0" borderId="17" xfId="0" applyFont="false" applyBorder="true" applyAlignment="true" applyProtection="true">
      <alignment horizontal="center" vertical="center" textRotation="0" wrapText="false" indent="0" shrinkToFit="false"/>
      <protection locked="true" hidden="false"/>
    </xf>
    <xf numFmtId="166" fontId="0" fillId="0" borderId="17" xfId="0" applyFont="false" applyBorder="true" applyAlignment="true" applyProtection="true">
      <alignment horizontal="center" vertical="center" textRotation="0" wrapText="false" indent="0" shrinkToFit="false"/>
      <protection locked="true" hidden="false"/>
    </xf>
    <xf numFmtId="164" fontId="26" fillId="0" borderId="17" xfId="20" applyFont="true" applyBorder="true" applyAlignment="true" applyProtection="true">
      <alignment horizontal="center" vertical="center" textRotation="0" wrapText="false" indent="0" shrinkToFit="false"/>
      <protection locked="true" hidden="false"/>
    </xf>
    <xf numFmtId="167" fontId="0" fillId="0" borderId="17" xfId="0" applyFont="false" applyBorder="true" applyAlignment="true" applyProtection="true">
      <alignment horizontal="center" vertical="center" textRotation="0" wrapText="false" indent="0" shrinkToFit="false"/>
      <protection locked="true" hidden="false"/>
    </xf>
    <xf numFmtId="164" fontId="9" fillId="0" borderId="17" xfId="20" applyFont="false" applyBorder="true" applyAlignment="true" applyProtection="true">
      <alignment horizontal="center" vertical="center" textRotation="0" wrapText="false" indent="0" shrinkToFit="false"/>
      <protection locked="true" hidden="false"/>
    </xf>
    <xf numFmtId="164" fontId="5" fillId="0" borderId="19" xfId="0" applyFont="true" applyBorder="true" applyAlignment="false" applyProtection="true">
      <alignment horizontal="general" vertical="bottom" textRotation="0" wrapText="false" indent="0" shrinkToFit="false"/>
      <protection locked="true" hidden="false"/>
    </xf>
    <xf numFmtId="164" fontId="6" fillId="3" borderId="13"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center" vertical="bottom" textRotation="0" wrapText="true" indent="0" shrinkToFit="false"/>
      <protection locked="true" hidden="false"/>
    </xf>
    <xf numFmtId="165" fontId="0" fillId="0" borderId="18" xfId="0" applyFont="false" applyBorder="true" applyAlignment="true" applyProtection="false">
      <alignment horizontal="center" vertical="bottom" textRotation="0" wrapText="false" indent="0" shrinkToFit="false"/>
      <protection locked="true" hidden="false"/>
    </xf>
    <xf numFmtId="164" fontId="0" fillId="0" borderId="15" xfId="0" applyFont="false" applyBorder="true" applyAlignment="true" applyProtection="false">
      <alignment horizontal="center" vertical="bottom" textRotation="0" wrapText="false" indent="0" shrinkToFit="false"/>
      <protection locked="true" hidden="false"/>
    </xf>
    <xf numFmtId="166" fontId="0" fillId="0" borderId="15" xfId="0" applyFont="false" applyBorder="true" applyAlignment="true" applyProtection="false">
      <alignment horizontal="center" vertical="bottom" textRotation="0" wrapText="false" indent="0" shrinkToFit="false"/>
      <protection locked="true" hidden="false"/>
    </xf>
    <xf numFmtId="166" fontId="0" fillId="0" borderId="15" xfId="0" applyFont="false" applyBorder="true" applyAlignment="false" applyProtection="false">
      <alignment horizontal="general" vertical="bottom" textRotation="0" wrapText="false" indent="0" shrinkToFit="false"/>
      <protection locked="true" hidden="false"/>
    </xf>
    <xf numFmtId="164" fontId="0" fillId="0" borderId="10" xfId="0" applyFont="false" applyBorder="true" applyAlignment="true" applyProtection="false">
      <alignment horizontal="center" vertical="bottom" textRotation="0" wrapText="false" indent="0" shrinkToFit="false"/>
      <protection locked="true" hidden="false"/>
    </xf>
    <xf numFmtId="164" fontId="0" fillId="0" borderId="17" xfId="0" applyFont="false" applyBorder="true" applyAlignment="true" applyProtection="false">
      <alignment horizontal="center" vertical="bottom" textRotation="0" wrapText="false" indent="0" shrinkToFit="false"/>
      <protection locked="true" hidden="false"/>
    </xf>
    <xf numFmtId="164" fontId="0" fillId="0" borderId="19" xfId="0" applyFont="false" applyBorder="true" applyAlignment="true" applyProtection="false">
      <alignment horizontal="center" vertical="bottom" textRotation="0" wrapText="false" indent="0" shrinkToFit="false"/>
      <protection locked="true" hidden="false"/>
    </xf>
  </cellXfs>
  <cellStyles count="14">
    <cellStyle name="Normal" xfId="0" builtinId="0"/>
    <cellStyle name="Comma" xfId="15" builtinId="3"/>
    <cellStyle name="Comma [0]" xfId="16" builtinId="6"/>
    <cellStyle name="Currency" xfId="17" builtinId="4"/>
    <cellStyle name="Currency [0]" xfId="18" builtinId="7"/>
    <cellStyle name="Percent" xfId="19" builtinId="5"/>
    <cellStyle name="60% - Accent6 2" xfId="21"/>
    <cellStyle name="Pivot Table Category" xfId="22"/>
    <cellStyle name="Pivot Table Corner" xfId="23"/>
    <cellStyle name="Pivot Table Field" xfId="24"/>
    <cellStyle name="Pivot Table Result" xfId="25"/>
    <cellStyle name="Pivot Table Title" xfId="26"/>
    <cellStyle name="Pivot Table Value" xfId="27"/>
    <cellStyle name="*unknown*" xfId="20" builtinId="8"/>
  </cellStyles>
  <dxfs count="1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4472C4"/>
        </patternFill>
      </fill>
    </dxf>
    <dxf>
      <fill>
        <patternFill patternType="solid">
          <fgColor rgb="00FFFFFF"/>
        </patternFill>
      </fill>
    </dxf>
    <dxf>
      <fill>
        <patternFill patternType="solid">
          <fgColor rgb="FF3D3D3D"/>
          <bgColor rgb="FFFFFFFF"/>
        </patternFill>
      </fill>
    </dxf>
    <dxf>
      <fill>
        <patternFill patternType="solid">
          <fgColor rgb="FFFFFFFF"/>
        </patternFill>
      </fill>
    </dxf>
    <dxf>
      <fill>
        <patternFill patternType="solid">
          <fgColor rgb="FF0563C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ED7D31"/>
        </patternFill>
      </fill>
    </dxf>
    <dxf>
      <fill>
        <patternFill>
          <bgColor rgb="FF00B050"/>
        </patternFill>
      </fill>
    </dxf>
    <dxf>
      <font>
        <color rgb="FF9C0006"/>
      </font>
      <fill>
        <patternFill>
          <bgColor rgb="FF00843C"/>
        </patternFill>
      </fill>
    </dxf>
    <dxf>
      <font>
        <color rgb="FF9C0006"/>
      </font>
      <fill>
        <patternFill>
          <bgColor rgb="FF002C14"/>
        </patternFill>
      </fill>
    </dxf>
    <dxf>
      <font>
        <color rgb="FF9C0006"/>
      </font>
      <fill>
        <patternFill>
          <bgColor rgb="FF009A46"/>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0000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212F3E"/>
        </patternFill>
      </fill>
    </dxf>
    <dxf>
      <fill>
        <patternFill patternType="solid">
          <fgColor rgb="FF8EA9DB"/>
        </patternFill>
      </fill>
    </dxf>
    <dxf>
      <fill>
        <patternFill patternType="solid">
          <fgColor rgb="FF9BC2E6"/>
        </patternFill>
      </fill>
    </dxf>
    <dxf>
      <font>
        <color rgb="FF9C0006"/>
      </font>
      <fill>
        <patternFill>
          <bgColor rgb="FFFFFF00"/>
        </patternFill>
      </fill>
    </dxf>
    <dxf>
      <font>
        <color rgb="FF9C0006"/>
      </font>
      <fill>
        <patternFill>
          <bgColor rgb="FFFFC7CE"/>
        </patternFill>
      </fill>
    </dxf>
    <dxf>
      <fill>
        <patternFill patternType="solid">
          <fgColor rgb="FF333333"/>
        </patternFill>
      </fill>
    </dxf>
    <dxf>
      <font>
        <color rgb="FF9C0006"/>
      </font>
      <fill>
        <patternFill>
          <bgColor rgb="FFFFC7CE"/>
        </patternFill>
      </fill>
    </dxf>
    <dxf>
      <font>
        <color rgb="FF9C0006"/>
      </font>
      <fill>
        <patternFill>
          <bgColor rgb="FFFFC7CE"/>
        </patternFill>
      </fill>
    </dxf>
  </dxfs>
  <colors>
    <indexedColors>
      <rgbColor rgb="FF000000"/>
      <rgbColor rgb="FFFFFFFF"/>
      <rgbColor rgb="FFFF0000"/>
      <rgbColor rgb="FF00FF00"/>
      <rgbColor rgb="FF0000FF"/>
      <rgbColor rgb="FFFFFF00"/>
      <rgbColor rgb="FFFF00FF"/>
      <rgbColor rgb="FF00FFFF"/>
      <rgbColor rgb="FF9C0006"/>
      <rgbColor rgb="FF00843C"/>
      <rgbColor rgb="FF000080"/>
      <rgbColor rgb="FF808000"/>
      <rgbColor rgb="FF800080"/>
      <rgbColor rgb="FF009A46"/>
      <rgbColor rgb="FFA9D18E"/>
      <rgbColor rgb="FF808080"/>
      <rgbColor rgb="FF8EA9DB"/>
      <rgbColor rgb="FF993366"/>
      <rgbColor rgb="FFF8F5D8"/>
      <rgbColor rgb="FFF5F5F5"/>
      <rgbColor rgb="FF660066"/>
      <rgbColor rgb="FFFF8080"/>
      <rgbColor rgb="FF0563C1"/>
      <rgbColor rgb="FFDDDAC0"/>
      <rgbColor rgb="FF000080"/>
      <rgbColor rgb="FFFF00FF"/>
      <rgbColor rgb="FFFFFF00"/>
      <rgbColor rgb="FF00FFFF"/>
      <rgbColor rgb="FF800080"/>
      <rgbColor rgb="FF800000"/>
      <rgbColor rgb="FF004B91"/>
      <rgbColor rgb="FF0000FF"/>
      <rgbColor rgb="FF00CCFF"/>
      <rgbColor rgb="FFE6E6E6"/>
      <rgbColor rgb="FFCCFFCC"/>
      <rgbColor rgb="FFFFFF99"/>
      <rgbColor rgb="FF9BC2E6"/>
      <rgbColor rgb="FFFF99CC"/>
      <rgbColor rgb="FFCC99FF"/>
      <rgbColor rgb="FFFFC7CE"/>
      <rgbColor rgb="FF4472C4"/>
      <rgbColor rgb="FF33CCCC"/>
      <rgbColor rgb="FF99CC00"/>
      <rgbColor rgb="FFFFCC00"/>
      <rgbColor rgb="FFFF9900"/>
      <rgbColor rgb="FFED7D31"/>
      <rgbColor rgb="FF666699"/>
      <rgbColor rgb="FF969696"/>
      <rgbColor rgb="FF212F3E"/>
      <rgbColor rgb="FF00B050"/>
      <rgbColor rgb="FF002C14"/>
      <rgbColor rgb="FF333300"/>
      <rgbColor rgb="FF993300"/>
      <rgbColor rgb="FF993366"/>
      <rgbColor rgb="FF1F497D"/>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sharedStrings" Target="sharedStrings.xml"/><Relationship Id="rId21" Type="http://schemas.openxmlformats.org/officeDocument/2006/relationships/pivotCacheDefinition" Target="pivotCache/pivotCacheDefinition1.xml"/>
</Relationships>
</file>

<file path=xl/drawings/_rels/drawing1.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Relationship Id="rId15" Type="http://schemas.openxmlformats.org/officeDocument/2006/relationships/hyperlink" Target="#&apos;Important Links&apos;!A2"/>
</Relationships>
</file>

<file path=xl/drawings/_rels/drawing2.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3.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4.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5.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6.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7.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8.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9.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10.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11.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12.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13.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14.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15.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0</xdr:col>
      <xdr:colOff>2151000</xdr:colOff>
      <xdr:row>0</xdr:row>
      <xdr:rowOff>505800</xdr:rowOff>
    </xdr:to>
    <xdr:sp>
      <xdr:nvSpPr>
        <xdr:cNvPr id="0" name="Rectangle: Rounded Corners 55">
          <a:hlinkClick r:id="rId1"/>
        </xdr:cNvPr>
        <xdr:cNvSpPr/>
      </xdr:nvSpPr>
      <xdr:spPr>
        <a:xfrm>
          <a:off x="114480" y="324000"/>
          <a:ext cx="20365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0</xdr:col>
      <xdr:colOff>2189880</xdr:colOff>
      <xdr:row>0</xdr:row>
      <xdr:rowOff>63360</xdr:rowOff>
    </xdr:from>
    <xdr:to>
      <xdr:col>2</xdr:col>
      <xdr:colOff>702000</xdr:colOff>
      <xdr:row>0</xdr:row>
      <xdr:rowOff>245160</xdr:rowOff>
    </xdr:to>
    <xdr:sp>
      <xdr:nvSpPr>
        <xdr:cNvPr id="1" name="Rectangle: Rounded Corners 56">
          <a:hlinkClick r:id="rId2"/>
        </xdr:cNvPr>
        <xdr:cNvSpPr/>
      </xdr:nvSpPr>
      <xdr:spPr>
        <a:xfrm>
          <a:off x="2189880" y="63360"/>
          <a:ext cx="203580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0</xdr:col>
      <xdr:colOff>2192400</xdr:colOff>
      <xdr:row>0</xdr:row>
      <xdr:rowOff>324000</xdr:rowOff>
    </xdr:from>
    <xdr:to>
      <xdr:col>2</xdr:col>
      <xdr:colOff>704520</xdr:colOff>
      <xdr:row>0</xdr:row>
      <xdr:rowOff>505800</xdr:rowOff>
    </xdr:to>
    <xdr:sp>
      <xdr:nvSpPr>
        <xdr:cNvPr id="2" name="Rectangle: Rounded Corners 57">
          <a:hlinkClick r:id="rId3"/>
        </xdr:cNvPr>
        <xdr:cNvSpPr/>
      </xdr:nvSpPr>
      <xdr:spPr>
        <a:xfrm>
          <a:off x="2192400" y="324000"/>
          <a:ext cx="203580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2</xdr:col>
      <xdr:colOff>740880</xdr:colOff>
      <xdr:row>0</xdr:row>
      <xdr:rowOff>63360</xdr:rowOff>
    </xdr:from>
    <xdr:to>
      <xdr:col>2</xdr:col>
      <xdr:colOff>2777400</xdr:colOff>
      <xdr:row>0</xdr:row>
      <xdr:rowOff>245160</xdr:rowOff>
    </xdr:to>
    <xdr:sp>
      <xdr:nvSpPr>
        <xdr:cNvPr id="3" name="Rectangle: Rounded Corners 58">
          <a:hlinkClick r:id="rId4"/>
        </xdr:cNvPr>
        <xdr:cNvSpPr/>
      </xdr:nvSpPr>
      <xdr:spPr>
        <a:xfrm>
          <a:off x="4264560" y="63360"/>
          <a:ext cx="203652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2</xdr:col>
      <xdr:colOff>746280</xdr:colOff>
      <xdr:row>0</xdr:row>
      <xdr:rowOff>324000</xdr:rowOff>
    </xdr:from>
    <xdr:to>
      <xdr:col>2</xdr:col>
      <xdr:colOff>2782800</xdr:colOff>
      <xdr:row>0</xdr:row>
      <xdr:rowOff>505800</xdr:rowOff>
    </xdr:to>
    <xdr:sp>
      <xdr:nvSpPr>
        <xdr:cNvPr id="4" name="Rectangle: Rounded Corners 59">
          <a:hlinkClick r:id="rId5"/>
        </xdr:cNvPr>
        <xdr:cNvSpPr/>
      </xdr:nvSpPr>
      <xdr:spPr>
        <a:xfrm>
          <a:off x="4269960" y="324000"/>
          <a:ext cx="203652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2</xdr:col>
      <xdr:colOff>4892040</xdr:colOff>
      <xdr:row>0</xdr:row>
      <xdr:rowOff>63360</xdr:rowOff>
    </xdr:from>
    <xdr:to>
      <xdr:col>4</xdr:col>
      <xdr:colOff>259920</xdr:colOff>
      <xdr:row>0</xdr:row>
      <xdr:rowOff>245160</xdr:rowOff>
    </xdr:to>
    <xdr:sp>
      <xdr:nvSpPr>
        <xdr:cNvPr id="5" name="Rectangle: Rounded Corners 60">
          <a:hlinkClick r:id="rId6"/>
        </xdr:cNvPr>
        <xdr:cNvSpPr/>
      </xdr:nvSpPr>
      <xdr:spPr>
        <a:xfrm>
          <a:off x="8415720" y="63360"/>
          <a:ext cx="203580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2</xdr:col>
      <xdr:colOff>4902840</xdr:colOff>
      <xdr:row>0</xdr:row>
      <xdr:rowOff>324000</xdr:rowOff>
    </xdr:from>
    <xdr:to>
      <xdr:col>4</xdr:col>
      <xdr:colOff>270720</xdr:colOff>
      <xdr:row>0</xdr:row>
      <xdr:rowOff>505800</xdr:rowOff>
    </xdr:to>
    <xdr:sp>
      <xdr:nvSpPr>
        <xdr:cNvPr id="6" name="Rectangle: Rounded Corners 61">
          <a:hlinkClick r:id="rId7"/>
        </xdr:cNvPr>
        <xdr:cNvSpPr/>
      </xdr:nvSpPr>
      <xdr:spPr>
        <a:xfrm>
          <a:off x="8426520" y="324000"/>
          <a:ext cx="203580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2</xdr:col>
      <xdr:colOff>2816640</xdr:colOff>
      <xdr:row>0</xdr:row>
      <xdr:rowOff>63360</xdr:rowOff>
    </xdr:from>
    <xdr:to>
      <xdr:col>2</xdr:col>
      <xdr:colOff>4853160</xdr:colOff>
      <xdr:row>0</xdr:row>
      <xdr:rowOff>245160</xdr:rowOff>
    </xdr:to>
    <xdr:sp>
      <xdr:nvSpPr>
        <xdr:cNvPr id="7" name="Rectangle: Rounded Corners 62">
          <a:hlinkClick r:id="rId8"/>
        </xdr:cNvPr>
        <xdr:cNvSpPr/>
      </xdr:nvSpPr>
      <xdr:spPr>
        <a:xfrm>
          <a:off x="6340320" y="63360"/>
          <a:ext cx="203652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2</xdr:col>
      <xdr:colOff>2824560</xdr:colOff>
      <xdr:row>0</xdr:row>
      <xdr:rowOff>324000</xdr:rowOff>
    </xdr:from>
    <xdr:to>
      <xdr:col>2</xdr:col>
      <xdr:colOff>4861080</xdr:colOff>
      <xdr:row>0</xdr:row>
      <xdr:rowOff>505800</xdr:rowOff>
    </xdr:to>
    <xdr:sp>
      <xdr:nvSpPr>
        <xdr:cNvPr id="8" name="Rectangle: Rounded Corners 63">
          <a:hlinkClick r:id="rId9"/>
        </xdr:cNvPr>
        <xdr:cNvSpPr/>
      </xdr:nvSpPr>
      <xdr:spPr>
        <a:xfrm>
          <a:off x="6348240" y="324000"/>
          <a:ext cx="203652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0</xdr:col>
      <xdr:colOff>2151000</xdr:colOff>
      <xdr:row>0</xdr:row>
      <xdr:rowOff>245160</xdr:rowOff>
    </xdr:to>
    <xdr:sp>
      <xdr:nvSpPr>
        <xdr:cNvPr id="9" name="Rectangle: Rounded Corners 64">
          <a:hlinkClick r:id="rId10"/>
        </xdr:cNvPr>
        <xdr:cNvSpPr/>
      </xdr:nvSpPr>
      <xdr:spPr>
        <a:xfrm>
          <a:off x="114480" y="63360"/>
          <a:ext cx="2036520" cy="181800"/>
        </a:xfrm>
        <a:prstGeom prst="roundRect">
          <a:avLst>
            <a:gd name="adj" fmla="val 16667"/>
          </a:avLst>
        </a:prstGeom>
        <a:solidFill>
          <a:srgbClr val="4472c4"/>
        </a:solidFill>
        <a:ln w="0">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1"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4</xdr:col>
      <xdr:colOff>299160</xdr:colOff>
      <xdr:row>0</xdr:row>
      <xdr:rowOff>63360</xdr:rowOff>
    </xdr:from>
    <xdr:to>
      <xdr:col>6</xdr:col>
      <xdr:colOff>331560</xdr:colOff>
      <xdr:row>0</xdr:row>
      <xdr:rowOff>245160</xdr:rowOff>
    </xdr:to>
    <xdr:sp>
      <xdr:nvSpPr>
        <xdr:cNvPr id="10" name="Rectangle: Rounded Corners 65">
          <a:hlinkClick r:id="rId11"/>
        </xdr:cNvPr>
        <xdr:cNvSpPr/>
      </xdr:nvSpPr>
      <xdr:spPr>
        <a:xfrm>
          <a:off x="10490760" y="63360"/>
          <a:ext cx="203652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4</xdr:col>
      <xdr:colOff>312480</xdr:colOff>
      <xdr:row>0</xdr:row>
      <xdr:rowOff>324000</xdr:rowOff>
    </xdr:from>
    <xdr:to>
      <xdr:col>6</xdr:col>
      <xdr:colOff>344880</xdr:colOff>
      <xdr:row>0</xdr:row>
      <xdr:rowOff>505800</xdr:rowOff>
    </xdr:to>
    <xdr:sp>
      <xdr:nvSpPr>
        <xdr:cNvPr id="11" name="Rectangle: Rounded Corners 66">
          <a:hlinkClick r:id="rId12"/>
        </xdr:cNvPr>
        <xdr:cNvSpPr/>
      </xdr:nvSpPr>
      <xdr:spPr>
        <a:xfrm>
          <a:off x="10504080" y="324000"/>
          <a:ext cx="203652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6</xdr:col>
      <xdr:colOff>370440</xdr:colOff>
      <xdr:row>0</xdr:row>
      <xdr:rowOff>63360</xdr:rowOff>
    </xdr:from>
    <xdr:to>
      <xdr:col>9</xdr:col>
      <xdr:colOff>79200</xdr:colOff>
      <xdr:row>0</xdr:row>
      <xdr:rowOff>245160</xdr:rowOff>
    </xdr:to>
    <xdr:sp>
      <xdr:nvSpPr>
        <xdr:cNvPr id="12" name="Rectangle: Rounded Corners 67">
          <a:hlinkClick r:id="rId13"/>
        </xdr:cNvPr>
        <xdr:cNvSpPr/>
      </xdr:nvSpPr>
      <xdr:spPr>
        <a:xfrm>
          <a:off x="12566160" y="63360"/>
          <a:ext cx="203544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6</xdr:col>
      <xdr:colOff>386640</xdr:colOff>
      <xdr:row>0</xdr:row>
      <xdr:rowOff>324000</xdr:rowOff>
    </xdr:from>
    <xdr:to>
      <xdr:col>9</xdr:col>
      <xdr:colOff>95400</xdr:colOff>
      <xdr:row>0</xdr:row>
      <xdr:rowOff>505800</xdr:rowOff>
    </xdr:to>
    <xdr:sp>
      <xdr:nvSpPr>
        <xdr:cNvPr id="13" name="Rectangle: Rounded Corners 68">
          <a:hlinkClick r:id="rId14"/>
        </xdr:cNvPr>
        <xdr:cNvSpPr/>
      </xdr:nvSpPr>
      <xdr:spPr>
        <a:xfrm>
          <a:off x="12582360" y="324000"/>
          <a:ext cx="203544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twoCellAnchor editAs="twoCell">
    <xdr:from>
      <xdr:col>6</xdr:col>
      <xdr:colOff>525960</xdr:colOff>
      <xdr:row>2</xdr:row>
      <xdr:rowOff>63360</xdr:rowOff>
    </xdr:from>
    <xdr:to>
      <xdr:col>8</xdr:col>
      <xdr:colOff>469080</xdr:colOff>
      <xdr:row>3</xdr:row>
      <xdr:rowOff>100440</xdr:rowOff>
    </xdr:to>
    <xdr:sp>
      <xdr:nvSpPr>
        <xdr:cNvPr id="14" name="Rectangle: Rounded Corners 92">
          <a:hlinkClick r:id="rId15"/>
        </xdr:cNvPr>
        <xdr:cNvSpPr/>
      </xdr:nvSpPr>
      <xdr:spPr>
        <a:xfrm>
          <a:off x="12721680" y="815760"/>
          <a:ext cx="1494360" cy="218160"/>
        </a:xfrm>
        <a:prstGeom prst="roundRect">
          <a:avLst>
            <a:gd name="adj" fmla="val 16667"/>
          </a:avLst>
        </a:prstGeom>
        <a:solidFill>
          <a:srgbClr val="ffffff"/>
        </a:solidFill>
        <a:ln w="0">
          <a:solidFill>
            <a:srgbClr val="000000"/>
          </a:solid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1" lang="en-US" sz="1100" spc="-1" strike="noStrike">
              <a:solidFill>
                <a:srgbClr val="ffffff"/>
              </a:solidFill>
              <a:latin typeface="Calibri"/>
            </a:rPr>
            <a:t>Important Links</a:t>
          </a:r>
          <a:endParaRPr b="0" lang="en-IN" sz="1100" spc="-1" strike="noStrike">
            <a:latin typeface="Times New Roman"/>
          </a:endParaRPr>
        </a:p>
      </xdr:txBody>
    </xdr:sp>
    <xdr:clientData/>
  </xdr:twoCellAnchor>
  <xdr:twoCellAnchor editAs="twoCell">
    <xdr:from>
      <xdr:col>6</xdr:col>
      <xdr:colOff>525960</xdr:colOff>
      <xdr:row>4</xdr:row>
      <xdr:rowOff>12600</xdr:rowOff>
    </xdr:from>
    <xdr:to>
      <xdr:col>8</xdr:col>
      <xdr:colOff>469080</xdr:colOff>
      <xdr:row>5</xdr:row>
      <xdr:rowOff>49680</xdr:rowOff>
    </xdr:to>
    <xdr:sp>
      <xdr:nvSpPr>
        <xdr:cNvPr id="15" name="Rectangle: Rounded Corners 93"/>
        <xdr:cNvSpPr/>
      </xdr:nvSpPr>
      <xdr:spPr>
        <a:xfrm>
          <a:off x="12721680" y="1127160"/>
          <a:ext cx="1494360" cy="217800"/>
        </a:xfrm>
        <a:prstGeom prst="roundRect">
          <a:avLst>
            <a:gd name="adj" fmla="val 16667"/>
          </a:avLst>
        </a:prstGeom>
        <a:solidFill>
          <a:srgbClr val="ffffff"/>
        </a:solidFill>
        <a:ln w="0">
          <a:solidFill>
            <a:srgbClr val="000000"/>
          </a:solid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1" lang="en-US" sz="1100" spc="-1" strike="noStrike">
              <a:solidFill>
                <a:srgbClr val="ffffff"/>
              </a:solidFill>
              <a:latin typeface="Calibri"/>
            </a:rPr>
            <a:t>Feedback</a:t>
          </a:r>
          <a:endParaRPr b="0" lang="en-IN" sz="1100" spc="-1" strike="noStrike">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2</xdr:col>
      <xdr:colOff>329760</xdr:colOff>
      <xdr:row>0</xdr:row>
      <xdr:rowOff>505800</xdr:rowOff>
    </xdr:to>
    <xdr:sp>
      <xdr:nvSpPr>
        <xdr:cNvPr id="16" name="Rectangle: Rounded Corners 34">
          <a:hlinkClick r:id="rId1"/>
        </xdr:cNvPr>
        <xdr:cNvSpPr/>
      </xdr:nvSpPr>
      <xdr:spPr>
        <a:xfrm>
          <a:off x="114480" y="324000"/>
          <a:ext cx="199260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2</xdr:col>
      <xdr:colOff>367920</xdr:colOff>
      <xdr:row>0</xdr:row>
      <xdr:rowOff>63360</xdr:rowOff>
    </xdr:from>
    <xdr:to>
      <xdr:col>3</xdr:col>
      <xdr:colOff>1149120</xdr:colOff>
      <xdr:row>0</xdr:row>
      <xdr:rowOff>245160</xdr:rowOff>
    </xdr:to>
    <xdr:sp>
      <xdr:nvSpPr>
        <xdr:cNvPr id="17" name="Rectangle: Rounded Corners 35">
          <a:hlinkClick r:id="rId2"/>
        </xdr:cNvPr>
        <xdr:cNvSpPr/>
      </xdr:nvSpPr>
      <xdr:spPr>
        <a:xfrm>
          <a:off x="2145240" y="63360"/>
          <a:ext cx="1993320" cy="181800"/>
        </a:xfrm>
        <a:prstGeom prst="roundRect">
          <a:avLst>
            <a:gd name="adj" fmla="val 16667"/>
          </a:avLst>
        </a:prstGeom>
        <a:solidFill>
          <a:srgbClr val="4472c4"/>
        </a:solidFill>
        <a:ln w="0">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1"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2</xdr:col>
      <xdr:colOff>370440</xdr:colOff>
      <xdr:row>0</xdr:row>
      <xdr:rowOff>324000</xdr:rowOff>
    </xdr:from>
    <xdr:to>
      <xdr:col>3</xdr:col>
      <xdr:colOff>1151640</xdr:colOff>
      <xdr:row>0</xdr:row>
      <xdr:rowOff>505800</xdr:rowOff>
    </xdr:to>
    <xdr:sp>
      <xdr:nvSpPr>
        <xdr:cNvPr id="18" name="Rectangle: Rounded Corners 36">
          <a:hlinkClick r:id="rId3"/>
        </xdr:cNvPr>
        <xdr:cNvSpPr/>
      </xdr:nvSpPr>
      <xdr:spPr>
        <a:xfrm>
          <a:off x="2147760" y="324000"/>
          <a:ext cx="199332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3</xdr:col>
      <xdr:colOff>1187640</xdr:colOff>
      <xdr:row>0</xdr:row>
      <xdr:rowOff>63360</xdr:rowOff>
    </xdr:from>
    <xdr:to>
      <xdr:col>4</xdr:col>
      <xdr:colOff>1540080</xdr:colOff>
      <xdr:row>0</xdr:row>
      <xdr:rowOff>245160</xdr:rowOff>
    </xdr:to>
    <xdr:sp>
      <xdr:nvSpPr>
        <xdr:cNvPr id="19" name="Rectangle: Rounded Corners 37">
          <a:hlinkClick r:id="rId4"/>
        </xdr:cNvPr>
        <xdr:cNvSpPr/>
      </xdr:nvSpPr>
      <xdr:spPr>
        <a:xfrm>
          <a:off x="4177080" y="63360"/>
          <a:ext cx="199296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3</xdr:col>
      <xdr:colOff>1192680</xdr:colOff>
      <xdr:row>0</xdr:row>
      <xdr:rowOff>324000</xdr:rowOff>
    </xdr:from>
    <xdr:to>
      <xdr:col>4</xdr:col>
      <xdr:colOff>1545120</xdr:colOff>
      <xdr:row>0</xdr:row>
      <xdr:rowOff>505800</xdr:rowOff>
    </xdr:to>
    <xdr:sp>
      <xdr:nvSpPr>
        <xdr:cNvPr id="20" name="Rectangle: Rounded Corners 38">
          <a:hlinkClick r:id="rId5"/>
        </xdr:cNvPr>
        <xdr:cNvSpPr/>
      </xdr:nvSpPr>
      <xdr:spPr>
        <a:xfrm>
          <a:off x="4182120" y="324000"/>
          <a:ext cx="199296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6</xdr:col>
      <xdr:colOff>239400</xdr:colOff>
      <xdr:row>0</xdr:row>
      <xdr:rowOff>63360</xdr:rowOff>
    </xdr:from>
    <xdr:to>
      <xdr:col>7</xdr:col>
      <xdr:colOff>1012320</xdr:colOff>
      <xdr:row>0</xdr:row>
      <xdr:rowOff>245160</xdr:rowOff>
    </xdr:to>
    <xdr:sp>
      <xdr:nvSpPr>
        <xdr:cNvPr id="21" name="Rectangle: Rounded Corners 39">
          <a:hlinkClick r:id="rId6"/>
        </xdr:cNvPr>
        <xdr:cNvSpPr/>
      </xdr:nvSpPr>
      <xdr:spPr>
        <a:xfrm>
          <a:off x="8238960" y="63360"/>
          <a:ext cx="199296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6</xdr:col>
      <xdr:colOff>249840</xdr:colOff>
      <xdr:row>0</xdr:row>
      <xdr:rowOff>324000</xdr:rowOff>
    </xdr:from>
    <xdr:to>
      <xdr:col>7</xdr:col>
      <xdr:colOff>1022760</xdr:colOff>
      <xdr:row>0</xdr:row>
      <xdr:rowOff>505800</xdr:rowOff>
    </xdr:to>
    <xdr:sp>
      <xdr:nvSpPr>
        <xdr:cNvPr id="22" name="Rectangle: Rounded Corners 49">
          <a:hlinkClick r:id="rId7"/>
        </xdr:cNvPr>
        <xdr:cNvSpPr/>
      </xdr:nvSpPr>
      <xdr:spPr>
        <a:xfrm>
          <a:off x="8249400" y="324000"/>
          <a:ext cx="199296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4</xdr:col>
      <xdr:colOff>1578240</xdr:colOff>
      <xdr:row>0</xdr:row>
      <xdr:rowOff>63360</xdr:rowOff>
    </xdr:from>
    <xdr:to>
      <xdr:col>6</xdr:col>
      <xdr:colOff>200880</xdr:colOff>
      <xdr:row>0</xdr:row>
      <xdr:rowOff>245160</xdr:rowOff>
    </xdr:to>
    <xdr:sp>
      <xdr:nvSpPr>
        <xdr:cNvPr id="23" name="Rectangle: Rounded Corners 50">
          <a:hlinkClick r:id="rId8"/>
        </xdr:cNvPr>
        <xdr:cNvSpPr/>
      </xdr:nvSpPr>
      <xdr:spPr>
        <a:xfrm>
          <a:off x="6208200" y="63360"/>
          <a:ext cx="199224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4</xdr:col>
      <xdr:colOff>1586160</xdr:colOff>
      <xdr:row>0</xdr:row>
      <xdr:rowOff>324000</xdr:rowOff>
    </xdr:from>
    <xdr:to>
      <xdr:col>6</xdr:col>
      <xdr:colOff>208800</xdr:colOff>
      <xdr:row>0</xdr:row>
      <xdr:rowOff>505800</xdr:rowOff>
    </xdr:to>
    <xdr:sp>
      <xdr:nvSpPr>
        <xdr:cNvPr id="24" name="Rectangle: Rounded Corners 51">
          <a:hlinkClick r:id="rId9"/>
        </xdr:cNvPr>
        <xdr:cNvSpPr/>
      </xdr:nvSpPr>
      <xdr:spPr>
        <a:xfrm>
          <a:off x="6216120" y="324000"/>
          <a:ext cx="199224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2</xdr:col>
      <xdr:colOff>329760</xdr:colOff>
      <xdr:row>0</xdr:row>
      <xdr:rowOff>245160</xdr:rowOff>
    </xdr:to>
    <xdr:sp>
      <xdr:nvSpPr>
        <xdr:cNvPr id="25" name="Rectangle: Rounded Corners 52">
          <a:hlinkClick r:id="rId10"/>
        </xdr:cNvPr>
        <xdr:cNvSpPr/>
      </xdr:nvSpPr>
      <xdr:spPr>
        <a:xfrm>
          <a:off x="114480" y="63360"/>
          <a:ext cx="199260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7</xdr:col>
      <xdr:colOff>1050480</xdr:colOff>
      <xdr:row>0</xdr:row>
      <xdr:rowOff>63360</xdr:rowOff>
    </xdr:from>
    <xdr:to>
      <xdr:col>9</xdr:col>
      <xdr:colOff>448560</xdr:colOff>
      <xdr:row>0</xdr:row>
      <xdr:rowOff>245160</xdr:rowOff>
    </xdr:to>
    <xdr:sp>
      <xdr:nvSpPr>
        <xdr:cNvPr id="26" name="Rectangle: Rounded Corners 53">
          <a:hlinkClick r:id="rId11"/>
        </xdr:cNvPr>
        <xdr:cNvSpPr/>
      </xdr:nvSpPr>
      <xdr:spPr>
        <a:xfrm>
          <a:off x="10270080" y="63360"/>
          <a:ext cx="199332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7</xdr:col>
      <xdr:colOff>1063800</xdr:colOff>
      <xdr:row>0</xdr:row>
      <xdr:rowOff>324000</xdr:rowOff>
    </xdr:from>
    <xdr:to>
      <xdr:col>9</xdr:col>
      <xdr:colOff>461880</xdr:colOff>
      <xdr:row>0</xdr:row>
      <xdr:rowOff>505800</xdr:rowOff>
    </xdr:to>
    <xdr:sp>
      <xdr:nvSpPr>
        <xdr:cNvPr id="27" name="Rectangle: Rounded Corners 54">
          <a:hlinkClick r:id="rId12"/>
        </xdr:cNvPr>
        <xdr:cNvSpPr/>
      </xdr:nvSpPr>
      <xdr:spPr>
        <a:xfrm>
          <a:off x="10283400" y="324000"/>
          <a:ext cx="199332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9</xdr:col>
      <xdr:colOff>487080</xdr:colOff>
      <xdr:row>0</xdr:row>
      <xdr:rowOff>63360</xdr:rowOff>
    </xdr:from>
    <xdr:to>
      <xdr:col>10</xdr:col>
      <xdr:colOff>1203480</xdr:colOff>
      <xdr:row>0</xdr:row>
      <xdr:rowOff>245160</xdr:rowOff>
    </xdr:to>
    <xdr:sp>
      <xdr:nvSpPr>
        <xdr:cNvPr id="28" name="Rectangle: Rounded Corners 55">
          <a:hlinkClick r:id="rId13"/>
        </xdr:cNvPr>
        <xdr:cNvSpPr/>
      </xdr:nvSpPr>
      <xdr:spPr>
        <a:xfrm>
          <a:off x="12301920" y="63360"/>
          <a:ext cx="199332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9</xdr:col>
      <xdr:colOff>502920</xdr:colOff>
      <xdr:row>0</xdr:row>
      <xdr:rowOff>324000</xdr:rowOff>
    </xdr:from>
    <xdr:to>
      <xdr:col>10</xdr:col>
      <xdr:colOff>1219320</xdr:colOff>
      <xdr:row>0</xdr:row>
      <xdr:rowOff>505800</xdr:rowOff>
    </xdr:to>
    <xdr:sp>
      <xdr:nvSpPr>
        <xdr:cNvPr id="29" name="Rectangle: Rounded Corners 56">
          <a:hlinkClick r:id="rId14"/>
        </xdr:cNvPr>
        <xdr:cNvSpPr/>
      </xdr:nvSpPr>
      <xdr:spPr>
        <a:xfrm>
          <a:off x="12317760" y="324000"/>
          <a:ext cx="199332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1</xdr:col>
      <xdr:colOff>213480</xdr:colOff>
      <xdr:row>0</xdr:row>
      <xdr:rowOff>505800</xdr:rowOff>
    </xdr:to>
    <xdr:sp>
      <xdr:nvSpPr>
        <xdr:cNvPr id="30" name="Rectangle: Rounded Corners 16">
          <a:hlinkClick r:id="rId1"/>
        </xdr:cNvPr>
        <xdr:cNvSpPr/>
      </xdr:nvSpPr>
      <xdr:spPr>
        <a:xfrm>
          <a:off x="114480" y="324000"/>
          <a:ext cx="19666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1</xdr:col>
      <xdr:colOff>250920</xdr:colOff>
      <xdr:row>0</xdr:row>
      <xdr:rowOff>63360</xdr:rowOff>
    </xdr:from>
    <xdr:to>
      <xdr:col>1</xdr:col>
      <xdr:colOff>2217600</xdr:colOff>
      <xdr:row>0</xdr:row>
      <xdr:rowOff>245160</xdr:rowOff>
    </xdr:to>
    <xdr:sp>
      <xdr:nvSpPr>
        <xdr:cNvPr id="31" name="Rectangle: Rounded Corners 17">
          <a:hlinkClick r:id="rId2"/>
        </xdr:cNvPr>
        <xdr:cNvSpPr/>
      </xdr:nvSpPr>
      <xdr:spPr>
        <a:xfrm>
          <a:off x="2118600" y="63360"/>
          <a:ext cx="19666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1</xdr:col>
      <xdr:colOff>253440</xdr:colOff>
      <xdr:row>0</xdr:row>
      <xdr:rowOff>324000</xdr:rowOff>
    </xdr:from>
    <xdr:to>
      <xdr:col>1</xdr:col>
      <xdr:colOff>2220120</xdr:colOff>
      <xdr:row>0</xdr:row>
      <xdr:rowOff>505800</xdr:rowOff>
    </xdr:to>
    <xdr:sp>
      <xdr:nvSpPr>
        <xdr:cNvPr id="32" name="Rectangle: Rounded Corners 18">
          <a:hlinkClick r:id="rId3"/>
        </xdr:cNvPr>
        <xdr:cNvSpPr/>
      </xdr:nvSpPr>
      <xdr:spPr>
        <a:xfrm>
          <a:off x="2121120" y="324000"/>
          <a:ext cx="19666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1</xdr:col>
      <xdr:colOff>2255400</xdr:colOff>
      <xdr:row>0</xdr:row>
      <xdr:rowOff>63360</xdr:rowOff>
    </xdr:from>
    <xdr:to>
      <xdr:col>2</xdr:col>
      <xdr:colOff>1846080</xdr:colOff>
      <xdr:row>0</xdr:row>
      <xdr:rowOff>245160</xdr:rowOff>
    </xdr:to>
    <xdr:sp>
      <xdr:nvSpPr>
        <xdr:cNvPr id="33" name="Rectangle: Rounded Corners 19">
          <a:hlinkClick r:id="rId4"/>
        </xdr:cNvPr>
        <xdr:cNvSpPr/>
      </xdr:nvSpPr>
      <xdr:spPr>
        <a:xfrm>
          <a:off x="4123080" y="63360"/>
          <a:ext cx="1966680" cy="181800"/>
        </a:xfrm>
        <a:prstGeom prst="roundRect">
          <a:avLst>
            <a:gd name="adj" fmla="val 16667"/>
          </a:avLst>
        </a:prstGeom>
        <a:solidFill>
          <a:srgbClr val="4472c4"/>
        </a:solidFill>
        <a:ln w="0">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1"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1</xdr:col>
      <xdr:colOff>2260440</xdr:colOff>
      <xdr:row>0</xdr:row>
      <xdr:rowOff>324000</xdr:rowOff>
    </xdr:from>
    <xdr:to>
      <xdr:col>2</xdr:col>
      <xdr:colOff>1851120</xdr:colOff>
      <xdr:row>0</xdr:row>
      <xdr:rowOff>505800</xdr:rowOff>
    </xdr:to>
    <xdr:sp>
      <xdr:nvSpPr>
        <xdr:cNvPr id="34" name="Rectangle: Rounded Corners 20">
          <a:hlinkClick r:id="rId5"/>
        </xdr:cNvPr>
        <xdr:cNvSpPr/>
      </xdr:nvSpPr>
      <xdr:spPr>
        <a:xfrm>
          <a:off x="4128120" y="324000"/>
          <a:ext cx="19666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3</xdr:col>
      <xdr:colOff>1859040</xdr:colOff>
      <xdr:row>0</xdr:row>
      <xdr:rowOff>63360</xdr:rowOff>
    </xdr:from>
    <xdr:to>
      <xdr:col>5</xdr:col>
      <xdr:colOff>528120</xdr:colOff>
      <xdr:row>0</xdr:row>
      <xdr:rowOff>245160</xdr:rowOff>
    </xdr:to>
    <xdr:sp>
      <xdr:nvSpPr>
        <xdr:cNvPr id="35" name="Rectangle: Rounded Corners 21">
          <a:hlinkClick r:id="rId6"/>
        </xdr:cNvPr>
        <xdr:cNvSpPr/>
      </xdr:nvSpPr>
      <xdr:spPr>
        <a:xfrm>
          <a:off x="8132040" y="63360"/>
          <a:ext cx="19666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3</xdr:col>
      <xdr:colOff>1869480</xdr:colOff>
      <xdr:row>0</xdr:row>
      <xdr:rowOff>324000</xdr:rowOff>
    </xdr:from>
    <xdr:to>
      <xdr:col>5</xdr:col>
      <xdr:colOff>538560</xdr:colOff>
      <xdr:row>0</xdr:row>
      <xdr:rowOff>505800</xdr:rowOff>
    </xdr:to>
    <xdr:sp>
      <xdr:nvSpPr>
        <xdr:cNvPr id="36" name="Rectangle: Rounded Corners 22">
          <a:hlinkClick r:id="rId7"/>
        </xdr:cNvPr>
        <xdr:cNvSpPr/>
      </xdr:nvSpPr>
      <xdr:spPr>
        <a:xfrm>
          <a:off x="8142480" y="324000"/>
          <a:ext cx="19666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2</xdr:col>
      <xdr:colOff>1883520</xdr:colOff>
      <xdr:row>0</xdr:row>
      <xdr:rowOff>63360</xdr:rowOff>
    </xdr:from>
    <xdr:to>
      <xdr:col>3</xdr:col>
      <xdr:colOff>1821240</xdr:colOff>
      <xdr:row>0</xdr:row>
      <xdr:rowOff>245160</xdr:rowOff>
    </xdr:to>
    <xdr:sp>
      <xdr:nvSpPr>
        <xdr:cNvPr id="37" name="Rectangle: Rounded Corners 23">
          <a:hlinkClick r:id="rId8"/>
        </xdr:cNvPr>
        <xdr:cNvSpPr/>
      </xdr:nvSpPr>
      <xdr:spPr>
        <a:xfrm>
          <a:off x="6127200" y="63360"/>
          <a:ext cx="196704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2</xdr:col>
      <xdr:colOff>1891440</xdr:colOff>
      <xdr:row>0</xdr:row>
      <xdr:rowOff>324000</xdr:rowOff>
    </xdr:from>
    <xdr:to>
      <xdr:col>3</xdr:col>
      <xdr:colOff>1829160</xdr:colOff>
      <xdr:row>0</xdr:row>
      <xdr:rowOff>505800</xdr:rowOff>
    </xdr:to>
    <xdr:sp>
      <xdr:nvSpPr>
        <xdr:cNvPr id="38" name="Rectangle: Rounded Corners 24">
          <a:hlinkClick r:id="rId9"/>
        </xdr:cNvPr>
        <xdr:cNvSpPr/>
      </xdr:nvSpPr>
      <xdr:spPr>
        <a:xfrm>
          <a:off x="6135120" y="324000"/>
          <a:ext cx="196704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1</xdr:col>
      <xdr:colOff>213480</xdr:colOff>
      <xdr:row>0</xdr:row>
      <xdr:rowOff>245160</xdr:rowOff>
    </xdr:to>
    <xdr:sp>
      <xdr:nvSpPr>
        <xdr:cNvPr id="39" name="Rectangle: Rounded Corners 25">
          <a:hlinkClick r:id="rId10"/>
        </xdr:cNvPr>
        <xdr:cNvSpPr/>
      </xdr:nvSpPr>
      <xdr:spPr>
        <a:xfrm>
          <a:off x="114480" y="63360"/>
          <a:ext cx="19666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5</xdr:col>
      <xdr:colOff>565920</xdr:colOff>
      <xdr:row>0</xdr:row>
      <xdr:rowOff>63360</xdr:rowOff>
    </xdr:from>
    <xdr:to>
      <xdr:col>5</xdr:col>
      <xdr:colOff>2532600</xdr:colOff>
      <xdr:row>0</xdr:row>
      <xdr:rowOff>245160</xdr:rowOff>
    </xdr:to>
    <xdr:sp>
      <xdr:nvSpPr>
        <xdr:cNvPr id="40" name="Rectangle: Rounded Corners 26">
          <a:hlinkClick r:id="rId11"/>
        </xdr:cNvPr>
        <xdr:cNvSpPr/>
      </xdr:nvSpPr>
      <xdr:spPr>
        <a:xfrm>
          <a:off x="10136520" y="63360"/>
          <a:ext cx="19666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5</xdr:col>
      <xdr:colOff>578880</xdr:colOff>
      <xdr:row>0</xdr:row>
      <xdr:rowOff>324000</xdr:rowOff>
    </xdr:from>
    <xdr:to>
      <xdr:col>5</xdr:col>
      <xdr:colOff>2545560</xdr:colOff>
      <xdr:row>0</xdr:row>
      <xdr:rowOff>505800</xdr:rowOff>
    </xdr:to>
    <xdr:sp>
      <xdr:nvSpPr>
        <xdr:cNvPr id="41" name="Rectangle: Rounded Corners 27">
          <a:hlinkClick r:id="rId12"/>
        </xdr:cNvPr>
        <xdr:cNvSpPr/>
      </xdr:nvSpPr>
      <xdr:spPr>
        <a:xfrm>
          <a:off x="10149480" y="324000"/>
          <a:ext cx="19666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5</xdr:col>
      <xdr:colOff>2570040</xdr:colOff>
      <xdr:row>0</xdr:row>
      <xdr:rowOff>63360</xdr:rowOff>
    </xdr:from>
    <xdr:to>
      <xdr:col>6</xdr:col>
      <xdr:colOff>1902240</xdr:colOff>
      <xdr:row>0</xdr:row>
      <xdr:rowOff>245160</xdr:rowOff>
    </xdr:to>
    <xdr:sp>
      <xdr:nvSpPr>
        <xdr:cNvPr id="42" name="Rectangle: Rounded Corners 28">
          <a:hlinkClick r:id="rId13"/>
        </xdr:cNvPr>
        <xdr:cNvSpPr/>
      </xdr:nvSpPr>
      <xdr:spPr>
        <a:xfrm>
          <a:off x="12140640" y="63360"/>
          <a:ext cx="196704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5</xdr:col>
      <xdr:colOff>2585880</xdr:colOff>
      <xdr:row>0</xdr:row>
      <xdr:rowOff>324000</xdr:rowOff>
    </xdr:from>
    <xdr:to>
      <xdr:col>6</xdr:col>
      <xdr:colOff>1918080</xdr:colOff>
      <xdr:row>0</xdr:row>
      <xdr:rowOff>505800</xdr:rowOff>
    </xdr:to>
    <xdr:sp>
      <xdr:nvSpPr>
        <xdr:cNvPr id="43" name="Rectangle: Rounded Corners 29">
          <a:hlinkClick r:id="rId14"/>
        </xdr:cNvPr>
        <xdr:cNvSpPr/>
      </xdr:nvSpPr>
      <xdr:spPr>
        <a:xfrm>
          <a:off x="12156480" y="324000"/>
          <a:ext cx="196704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2</xdr:col>
      <xdr:colOff>112320</xdr:colOff>
      <xdr:row>0</xdr:row>
      <xdr:rowOff>505800</xdr:rowOff>
    </xdr:to>
    <xdr:sp>
      <xdr:nvSpPr>
        <xdr:cNvPr id="44" name="Rectangle: Rounded Corners 24">
          <a:hlinkClick r:id="rId1"/>
        </xdr:cNvPr>
        <xdr:cNvSpPr/>
      </xdr:nvSpPr>
      <xdr:spPr>
        <a:xfrm>
          <a:off x="114480" y="324000"/>
          <a:ext cx="200196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2</xdr:col>
      <xdr:colOff>150840</xdr:colOff>
      <xdr:row>0</xdr:row>
      <xdr:rowOff>63360</xdr:rowOff>
    </xdr:from>
    <xdr:to>
      <xdr:col>2</xdr:col>
      <xdr:colOff>2152800</xdr:colOff>
      <xdr:row>0</xdr:row>
      <xdr:rowOff>245160</xdr:rowOff>
    </xdr:to>
    <xdr:sp>
      <xdr:nvSpPr>
        <xdr:cNvPr id="45" name="Rectangle: Rounded Corners 25">
          <a:hlinkClick r:id="rId2"/>
        </xdr:cNvPr>
        <xdr:cNvSpPr/>
      </xdr:nvSpPr>
      <xdr:spPr>
        <a:xfrm>
          <a:off x="2154960" y="63360"/>
          <a:ext cx="200196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2</xdr:col>
      <xdr:colOff>153360</xdr:colOff>
      <xdr:row>0</xdr:row>
      <xdr:rowOff>324000</xdr:rowOff>
    </xdr:from>
    <xdr:to>
      <xdr:col>2</xdr:col>
      <xdr:colOff>2155320</xdr:colOff>
      <xdr:row>0</xdr:row>
      <xdr:rowOff>505800</xdr:rowOff>
    </xdr:to>
    <xdr:sp>
      <xdr:nvSpPr>
        <xdr:cNvPr id="46" name="Rectangle: Rounded Corners 26">
          <a:hlinkClick r:id="rId3"/>
        </xdr:cNvPr>
        <xdr:cNvSpPr/>
      </xdr:nvSpPr>
      <xdr:spPr>
        <a:xfrm>
          <a:off x="2157480" y="324000"/>
          <a:ext cx="200196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2</xdr:col>
      <xdr:colOff>2191320</xdr:colOff>
      <xdr:row>0</xdr:row>
      <xdr:rowOff>63360</xdr:rowOff>
    </xdr:from>
    <xdr:to>
      <xdr:col>4</xdr:col>
      <xdr:colOff>1372680</xdr:colOff>
      <xdr:row>0</xdr:row>
      <xdr:rowOff>245160</xdr:rowOff>
    </xdr:to>
    <xdr:sp>
      <xdr:nvSpPr>
        <xdr:cNvPr id="47" name="Rectangle: Rounded Corners 27">
          <a:hlinkClick r:id="rId4"/>
        </xdr:cNvPr>
        <xdr:cNvSpPr/>
      </xdr:nvSpPr>
      <xdr:spPr>
        <a:xfrm>
          <a:off x="4195440" y="63360"/>
          <a:ext cx="200124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2</xdr:col>
      <xdr:colOff>2196360</xdr:colOff>
      <xdr:row>0</xdr:row>
      <xdr:rowOff>324000</xdr:rowOff>
    </xdr:from>
    <xdr:to>
      <xdr:col>4</xdr:col>
      <xdr:colOff>1377720</xdr:colOff>
      <xdr:row>0</xdr:row>
      <xdr:rowOff>505800</xdr:rowOff>
    </xdr:to>
    <xdr:sp>
      <xdr:nvSpPr>
        <xdr:cNvPr id="48" name="Rectangle: Rounded Corners 28">
          <a:hlinkClick r:id="rId5"/>
        </xdr:cNvPr>
        <xdr:cNvSpPr/>
      </xdr:nvSpPr>
      <xdr:spPr>
        <a:xfrm>
          <a:off x="4200480" y="324000"/>
          <a:ext cx="200124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4</xdr:col>
      <xdr:colOff>3451680</xdr:colOff>
      <xdr:row>0</xdr:row>
      <xdr:rowOff>63360</xdr:rowOff>
    </xdr:from>
    <xdr:to>
      <xdr:col>5</xdr:col>
      <xdr:colOff>983160</xdr:colOff>
      <xdr:row>0</xdr:row>
      <xdr:rowOff>245160</xdr:rowOff>
    </xdr:to>
    <xdr:sp>
      <xdr:nvSpPr>
        <xdr:cNvPr id="49" name="Rectangle: Rounded Corners 29">
          <a:hlinkClick r:id="rId6"/>
        </xdr:cNvPr>
        <xdr:cNvSpPr/>
      </xdr:nvSpPr>
      <xdr:spPr>
        <a:xfrm>
          <a:off x="8275680" y="63360"/>
          <a:ext cx="20026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4</xdr:col>
      <xdr:colOff>3462120</xdr:colOff>
      <xdr:row>0</xdr:row>
      <xdr:rowOff>324000</xdr:rowOff>
    </xdr:from>
    <xdr:to>
      <xdr:col>5</xdr:col>
      <xdr:colOff>993600</xdr:colOff>
      <xdr:row>0</xdr:row>
      <xdr:rowOff>505800</xdr:rowOff>
    </xdr:to>
    <xdr:sp>
      <xdr:nvSpPr>
        <xdr:cNvPr id="50" name="Rectangle: Rounded Corners 30">
          <a:hlinkClick r:id="rId7"/>
        </xdr:cNvPr>
        <xdr:cNvSpPr/>
      </xdr:nvSpPr>
      <xdr:spPr>
        <a:xfrm>
          <a:off x="8286120" y="324000"/>
          <a:ext cx="20026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4</xdr:col>
      <xdr:colOff>1411200</xdr:colOff>
      <xdr:row>0</xdr:row>
      <xdr:rowOff>63360</xdr:rowOff>
    </xdr:from>
    <xdr:to>
      <xdr:col>4</xdr:col>
      <xdr:colOff>3413160</xdr:colOff>
      <xdr:row>0</xdr:row>
      <xdr:rowOff>245160</xdr:rowOff>
    </xdr:to>
    <xdr:sp>
      <xdr:nvSpPr>
        <xdr:cNvPr id="51" name="Rectangle: Rounded Corners 31">
          <a:hlinkClick r:id="rId8"/>
        </xdr:cNvPr>
        <xdr:cNvSpPr/>
      </xdr:nvSpPr>
      <xdr:spPr>
        <a:xfrm>
          <a:off x="6235200" y="63360"/>
          <a:ext cx="2001960" cy="181800"/>
        </a:xfrm>
        <a:prstGeom prst="roundRect">
          <a:avLst>
            <a:gd name="adj" fmla="val 16667"/>
          </a:avLst>
        </a:prstGeom>
        <a:solidFill>
          <a:srgbClr val="4472c4"/>
        </a:solidFill>
        <a:ln w="0">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1"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4</xdr:col>
      <xdr:colOff>1419120</xdr:colOff>
      <xdr:row>0</xdr:row>
      <xdr:rowOff>324000</xdr:rowOff>
    </xdr:from>
    <xdr:to>
      <xdr:col>4</xdr:col>
      <xdr:colOff>3421080</xdr:colOff>
      <xdr:row>0</xdr:row>
      <xdr:rowOff>505800</xdr:rowOff>
    </xdr:to>
    <xdr:sp>
      <xdr:nvSpPr>
        <xdr:cNvPr id="52" name="Rectangle: Rounded Corners 32">
          <a:hlinkClick r:id="rId9"/>
        </xdr:cNvPr>
        <xdr:cNvSpPr/>
      </xdr:nvSpPr>
      <xdr:spPr>
        <a:xfrm>
          <a:off x="6243120" y="324000"/>
          <a:ext cx="200196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2</xdr:col>
      <xdr:colOff>112320</xdr:colOff>
      <xdr:row>0</xdr:row>
      <xdr:rowOff>245160</xdr:rowOff>
    </xdr:to>
    <xdr:sp>
      <xdr:nvSpPr>
        <xdr:cNvPr id="53" name="Rectangle: Rounded Corners 33">
          <a:hlinkClick r:id="rId10"/>
        </xdr:cNvPr>
        <xdr:cNvSpPr/>
      </xdr:nvSpPr>
      <xdr:spPr>
        <a:xfrm>
          <a:off x="114480" y="63360"/>
          <a:ext cx="200196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5</xdr:col>
      <xdr:colOff>1021680</xdr:colOff>
      <xdr:row>0</xdr:row>
      <xdr:rowOff>63360</xdr:rowOff>
    </xdr:from>
    <xdr:to>
      <xdr:col>6</xdr:col>
      <xdr:colOff>1229040</xdr:colOff>
      <xdr:row>0</xdr:row>
      <xdr:rowOff>245160</xdr:rowOff>
    </xdr:to>
    <xdr:sp>
      <xdr:nvSpPr>
        <xdr:cNvPr id="54" name="Rectangle: Rounded Corners 34">
          <a:hlinkClick r:id="rId11"/>
        </xdr:cNvPr>
        <xdr:cNvSpPr/>
      </xdr:nvSpPr>
      <xdr:spPr>
        <a:xfrm>
          <a:off x="10316880" y="63360"/>
          <a:ext cx="200196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5</xdr:col>
      <xdr:colOff>1035000</xdr:colOff>
      <xdr:row>0</xdr:row>
      <xdr:rowOff>324000</xdr:rowOff>
    </xdr:from>
    <xdr:to>
      <xdr:col>6</xdr:col>
      <xdr:colOff>1242360</xdr:colOff>
      <xdr:row>0</xdr:row>
      <xdr:rowOff>505800</xdr:rowOff>
    </xdr:to>
    <xdr:sp>
      <xdr:nvSpPr>
        <xdr:cNvPr id="55" name="Rectangle: Rounded Corners 35">
          <a:hlinkClick r:id="rId12"/>
        </xdr:cNvPr>
        <xdr:cNvSpPr/>
      </xdr:nvSpPr>
      <xdr:spPr>
        <a:xfrm>
          <a:off x="10330200" y="324000"/>
          <a:ext cx="200196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6</xdr:col>
      <xdr:colOff>1267560</xdr:colOff>
      <xdr:row>0</xdr:row>
      <xdr:rowOff>63360</xdr:rowOff>
    </xdr:from>
    <xdr:to>
      <xdr:col>8</xdr:col>
      <xdr:colOff>974880</xdr:colOff>
      <xdr:row>0</xdr:row>
      <xdr:rowOff>245160</xdr:rowOff>
    </xdr:to>
    <xdr:sp>
      <xdr:nvSpPr>
        <xdr:cNvPr id="56" name="Rectangle: Rounded Corners 36">
          <a:hlinkClick r:id="rId13"/>
        </xdr:cNvPr>
        <xdr:cNvSpPr/>
      </xdr:nvSpPr>
      <xdr:spPr>
        <a:xfrm>
          <a:off x="12357360" y="63360"/>
          <a:ext cx="200196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7</xdr:col>
      <xdr:colOff>14760</xdr:colOff>
      <xdr:row>0</xdr:row>
      <xdr:rowOff>324000</xdr:rowOff>
    </xdr:from>
    <xdr:to>
      <xdr:col>8</xdr:col>
      <xdr:colOff>990720</xdr:colOff>
      <xdr:row>0</xdr:row>
      <xdr:rowOff>505800</xdr:rowOff>
    </xdr:to>
    <xdr:sp>
      <xdr:nvSpPr>
        <xdr:cNvPr id="57" name="Rectangle: Rounded Corners 37">
          <a:hlinkClick r:id="rId14"/>
        </xdr:cNvPr>
        <xdr:cNvSpPr/>
      </xdr:nvSpPr>
      <xdr:spPr>
        <a:xfrm>
          <a:off x="12373200" y="324000"/>
          <a:ext cx="200196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twoCellAnchor editAs="twoCell">
    <xdr:from>
      <xdr:col>8</xdr:col>
      <xdr:colOff>31680</xdr:colOff>
      <xdr:row>1</xdr:row>
      <xdr:rowOff>19080</xdr:rowOff>
    </xdr:from>
    <xdr:to>
      <xdr:col>8</xdr:col>
      <xdr:colOff>2956680</xdr:colOff>
      <xdr:row>1</xdr:row>
      <xdr:rowOff>155160</xdr:rowOff>
    </xdr:to>
    <xdr:sp>
      <xdr:nvSpPr>
        <xdr:cNvPr id="58" name="Rectangle: Rounded Corners 38"/>
        <xdr:cNvSpPr/>
      </xdr:nvSpPr>
      <xdr:spPr>
        <a:xfrm>
          <a:off x="13416120" y="590760"/>
          <a:ext cx="2925000" cy="136080"/>
        </a:xfrm>
        <a:prstGeom prst="roundRect">
          <a:avLst>
            <a:gd name="adj" fmla="val 16667"/>
          </a:avLst>
        </a:prstGeom>
        <a:solidFill>
          <a:srgbClr val="ffffff"/>
        </a:solidFill>
        <a:ln w="0">
          <a:solidFill>
            <a:srgbClr val="000000"/>
          </a:solid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ffffff"/>
              </a:solidFill>
              <a:latin typeface="Calibri"/>
            </a:rPr>
            <a:t>Generate TT Links</a:t>
          </a:r>
          <a:endParaRPr b="0" lang="en-IN" sz="1100" spc="-1" strike="noStrike">
            <a:latin typeface="Times New Roman"/>
          </a:endParaRPr>
        </a:p>
      </xdr:txBody>
    </xdr:sp>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absolute">
    <xdr:from>
      <xdr:col>4</xdr:col>
      <xdr:colOff>146520</xdr:colOff>
      <xdr:row>1</xdr:row>
      <xdr:rowOff>50760</xdr:rowOff>
    </xdr:from>
    <xdr:to>
      <xdr:col>5</xdr:col>
      <xdr:colOff>428760</xdr:colOff>
      <xdr:row>1</xdr:row>
      <xdr:rowOff>229680</xdr:rowOff>
    </xdr:to>
    <xdr:sp>
      <xdr:nvSpPr>
        <xdr:cNvPr id="59" name="Rectangle: Rounded Corners 12"/>
        <xdr:cNvSpPr/>
      </xdr:nvSpPr>
      <xdr:spPr>
        <a:xfrm>
          <a:off x="4284360" y="622440"/>
          <a:ext cx="1316520" cy="178920"/>
        </a:xfrm>
        <a:prstGeom prst="roundRect">
          <a:avLst>
            <a:gd name="adj" fmla="val 16667"/>
          </a:avLst>
        </a:prstGeom>
        <a:solidFill>
          <a:srgbClr val="ffffff"/>
        </a:solidFill>
        <a:ln w="0">
          <a:solidFill>
            <a:srgbClr val="000000"/>
          </a:solid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ffffff"/>
              </a:solidFill>
              <a:latin typeface="Calibri"/>
            </a:rPr>
            <a:t>Initial Vibe</a:t>
          </a:r>
          <a:endParaRPr b="0" lang="en-IN" sz="1100" spc="-1" strike="noStrike">
            <a:latin typeface="Times New Roman"/>
          </a:endParaRPr>
        </a:p>
      </xdr:txBody>
    </xdr:sp>
    <xdr:clientData/>
  </xdr:twoCellAnchor>
  <xdr:twoCellAnchor editAs="absolute">
    <xdr:from>
      <xdr:col>4</xdr:col>
      <xdr:colOff>146520</xdr:colOff>
      <xdr:row>2</xdr:row>
      <xdr:rowOff>74520</xdr:rowOff>
    </xdr:from>
    <xdr:to>
      <xdr:col>5</xdr:col>
      <xdr:colOff>428760</xdr:colOff>
      <xdr:row>3</xdr:row>
      <xdr:rowOff>72360</xdr:rowOff>
    </xdr:to>
    <xdr:sp>
      <xdr:nvSpPr>
        <xdr:cNvPr id="60" name="Rectangle: Rounded Corners 13"/>
        <xdr:cNvSpPr/>
      </xdr:nvSpPr>
      <xdr:spPr>
        <a:xfrm>
          <a:off x="4284360" y="922320"/>
          <a:ext cx="1316520" cy="178920"/>
        </a:xfrm>
        <a:prstGeom prst="roundRect">
          <a:avLst>
            <a:gd name="adj" fmla="val 16667"/>
          </a:avLst>
        </a:prstGeom>
        <a:solidFill>
          <a:srgbClr val="ffffff"/>
        </a:solidFill>
        <a:ln w="0">
          <a:solidFill>
            <a:srgbClr val="000000"/>
          </a:solid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ffffff"/>
              </a:solidFill>
              <a:latin typeface="Calibri"/>
            </a:rPr>
            <a:t>Clear</a:t>
          </a:r>
          <a:endParaRPr b="0" lang="en-IN" sz="1100" spc="-1" strike="noStrike">
            <a:latin typeface="Times New Roman"/>
          </a:endParaRPr>
        </a:p>
      </xdr:txBody>
    </xdr:sp>
    <xdr:clientData/>
  </xdr:twoCellAnchor>
  <xdr:twoCellAnchor editAs="absolute">
    <xdr:from>
      <xdr:col>4</xdr:col>
      <xdr:colOff>138960</xdr:colOff>
      <xdr:row>4</xdr:row>
      <xdr:rowOff>19080</xdr:rowOff>
    </xdr:from>
    <xdr:to>
      <xdr:col>5</xdr:col>
      <xdr:colOff>421200</xdr:colOff>
      <xdr:row>5</xdr:row>
      <xdr:rowOff>16920</xdr:rowOff>
    </xdr:to>
    <xdr:sp>
      <xdr:nvSpPr>
        <xdr:cNvPr id="61" name="Rectangle: Rounded Corners 97"/>
        <xdr:cNvSpPr/>
      </xdr:nvSpPr>
      <xdr:spPr>
        <a:xfrm>
          <a:off x="4276800" y="1228680"/>
          <a:ext cx="1316520" cy="178920"/>
        </a:xfrm>
        <a:prstGeom prst="roundRect">
          <a:avLst>
            <a:gd name="adj" fmla="val 16667"/>
          </a:avLst>
        </a:prstGeom>
        <a:solidFill>
          <a:srgbClr val="ffffff"/>
        </a:solidFill>
        <a:ln w="0">
          <a:solidFill>
            <a:srgbClr val="000000"/>
          </a:solid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ffffff"/>
              </a:solidFill>
              <a:latin typeface="Calibri"/>
            </a:rPr>
            <a:t>Open Notepad</a:t>
          </a:r>
          <a:endParaRPr b="0" lang="en-IN" sz="1100" spc="-1" strike="noStrike">
            <a:latin typeface="Times New Roman"/>
          </a:endParaRPr>
        </a:p>
      </xdr:txBody>
    </xdr:sp>
    <xdr:clientData/>
  </xdr:twoCellAnchor>
  <xdr:twoCellAnchor editAs="twoCell">
    <xdr:from>
      <xdr:col>17</xdr:col>
      <xdr:colOff>171360</xdr:colOff>
      <xdr:row>1</xdr:row>
      <xdr:rowOff>45720</xdr:rowOff>
    </xdr:from>
    <xdr:to>
      <xdr:col>19</xdr:col>
      <xdr:colOff>48240</xdr:colOff>
      <xdr:row>1</xdr:row>
      <xdr:rowOff>227520</xdr:rowOff>
    </xdr:to>
    <xdr:sp>
      <xdr:nvSpPr>
        <xdr:cNvPr id="62" name="Rectangle: Rounded Corners 48"/>
        <xdr:cNvSpPr/>
      </xdr:nvSpPr>
      <xdr:spPr>
        <a:xfrm>
          <a:off x="18288720" y="617400"/>
          <a:ext cx="1427400" cy="181800"/>
        </a:xfrm>
        <a:prstGeom prst="roundRect">
          <a:avLst>
            <a:gd name="adj" fmla="val 16667"/>
          </a:avLst>
        </a:prstGeom>
        <a:solidFill>
          <a:srgbClr val="ffffff"/>
        </a:solidFill>
        <a:ln w="0">
          <a:solidFill>
            <a:srgbClr val="000000"/>
          </a:solid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ffffff"/>
              </a:solidFill>
              <a:latin typeface="Calibri"/>
            </a:rPr>
            <a:t>Incremental</a:t>
          </a:r>
          <a:endParaRPr b="0" lang="en-IN" sz="1100" spc="-1" strike="noStrike">
            <a:latin typeface="Times New Roman"/>
          </a:endParaRPr>
        </a:p>
      </xdr:txBody>
    </xdr:sp>
    <xdr:clientData/>
  </xdr:twoCellAnchor>
  <xdr:twoCellAnchor editAs="twoCell">
    <xdr:from>
      <xdr:col>17</xdr:col>
      <xdr:colOff>171360</xdr:colOff>
      <xdr:row>2</xdr:row>
      <xdr:rowOff>58320</xdr:rowOff>
    </xdr:from>
    <xdr:to>
      <xdr:col>19</xdr:col>
      <xdr:colOff>48240</xdr:colOff>
      <xdr:row>3</xdr:row>
      <xdr:rowOff>55800</xdr:rowOff>
    </xdr:to>
    <xdr:sp>
      <xdr:nvSpPr>
        <xdr:cNvPr id="63" name="Rectangle: Rounded Corners 49"/>
        <xdr:cNvSpPr/>
      </xdr:nvSpPr>
      <xdr:spPr>
        <a:xfrm>
          <a:off x="18288720" y="906120"/>
          <a:ext cx="1427400" cy="178560"/>
        </a:xfrm>
        <a:prstGeom prst="roundRect">
          <a:avLst>
            <a:gd name="adj" fmla="val 16667"/>
          </a:avLst>
        </a:prstGeom>
        <a:solidFill>
          <a:srgbClr val="ffffff"/>
        </a:solidFill>
        <a:ln w="0">
          <a:solidFill>
            <a:srgbClr val="000000"/>
          </a:solid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ffffff"/>
              </a:solidFill>
              <a:latin typeface="Calibri"/>
            </a:rPr>
            <a:t>Clear</a:t>
          </a:r>
          <a:endParaRPr b="0" lang="en-IN" sz="1100" spc="-1" strike="noStrike">
            <a:latin typeface="Times New Roman"/>
          </a:endParaRPr>
        </a:p>
      </xdr:txBody>
    </xdr:sp>
    <xdr:clientData/>
  </xdr:twoCellAnchor>
  <xdr:twoCellAnchor editAs="twoCell">
    <xdr:from>
      <xdr:col>17</xdr:col>
      <xdr:colOff>165240</xdr:colOff>
      <xdr:row>0</xdr:row>
      <xdr:rowOff>331560</xdr:rowOff>
    </xdr:from>
    <xdr:to>
      <xdr:col>19</xdr:col>
      <xdr:colOff>42120</xdr:colOff>
      <xdr:row>0</xdr:row>
      <xdr:rowOff>513360</xdr:rowOff>
    </xdr:to>
    <xdr:sp>
      <xdr:nvSpPr>
        <xdr:cNvPr id="64" name="Rectangle: Rounded Corners 96"/>
        <xdr:cNvSpPr/>
      </xdr:nvSpPr>
      <xdr:spPr>
        <a:xfrm>
          <a:off x="18282600" y="331560"/>
          <a:ext cx="1427400" cy="181800"/>
        </a:xfrm>
        <a:prstGeom prst="roundRect">
          <a:avLst>
            <a:gd name="adj" fmla="val 16667"/>
          </a:avLst>
        </a:prstGeom>
        <a:solidFill>
          <a:srgbClr val="ffffff"/>
        </a:solidFill>
        <a:ln w="0">
          <a:solidFill>
            <a:srgbClr val="000000"/>
          </a:solid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ffffff"/>
              </a:solidFill>
              <a:latin typeface="Calibri"/>
            </a:rPr>
            <a:t>Release Filter</a:t>
          </a:r>
          <a:endParaRPr b="0" lang="en-IN" sz="1100" spc="-1" strike="noStrike">
            <a:latin typeface="Times New Roman"/>
          </a:endParaRPr>
        </a:p>
      </xdr:txBody>
    </xdr:sp>
    <xdr:clientData/>
  </xdr:twoCellAnchor>
  <xdr:twoCellAnchor editAs="twoCell">
    <xdr:from>
      <xdr:col>17</xdr:col>
      <xdr:colOff>165240</xdr:colOff>
      <xdr:row>0</xdr:row>
      <xdr:rowOff>50760</xdr:rowOff>
    </xdr:from>
    <xdr:to>
      <xdr:col>19</xdr:col>
      <xdr:colOff>42120</xdr:colOff>
      <xdr:row>0</xdr:row>
      <xdr:rowOff>232560</xdr:rowOff>
    </xdr:to>
    <xdr:sp>
      <xdr:nvSpPr>
        <xdr:cNvPr id="65" name="Rectangle: Rounded Corners 22"/>
        <xdr:cNvSpPr/>
      </xdr:nvSpPr>
      <xdr:spPr>
        <a:xfrm>
          <a:off x="18282600" y="50760"/>
          <a:ext cx="1427400" cy="181800"/>
        </a:xfrm>
        <a:prstGeom prst="roundRect">
          <a:avLst>
            <a:gd name="adj" fmla="val 16667"/>
          </a:avLst>
        </a:prstGeom>
        <a:solidFill>
          <a:srgbClr val="ffffff"/>
        </a:solidFill>
        <a:ln w="0">
          <a:solidFill>
            <a:srgbClr val="000000"/>
          </a:solid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ffffff"/>
              </a:solidFill>
              <a:latin typeface="Calibri"/>
            </a:rPr>
            <a:t>Open Notepad</a:t>
          </a:r>
          <a:endParaRPr b="0" lang="en-IN" sz="1100" spc="-1" strike="noStrike">
            <a:latin typeface="Times New Roman"/>
          </a:endParaRPr>
        </a:p>
      </xdr:txBody>
    </xdr:sp>
    <xdr:clientData/>
  </xdr:twoCellAnchor>
  <xdr:twoCellAnchor editAs="absolute">
    <xdr:from>
      <xdr:col>0</xdr:col>
      <xdr:colOff>114480</xdr:colOff>
      <xdr:row>0</xdr:row>
      <xdr:rowOff>324000</xdr:rowOff>
    </xdr:from>
    <xdr:to>
      <xdr:col>2</xdr:col>
      <xdr:colOff>59040</xdr:colOff>
      <xdr:row>0</xdr:row>
      <xdr:rowOff>505800</xdr:rowOff>
    </xdr:to>
    <xdr:sp>
      <xdr:nvSpPr>
        <xdr:cNvPr id="66" name="Rectangle: Rounded Corners 56">
          <a:hlinkClick r:id="rId1"/>
        </xdr:cNvPr>
        <xdr:cNvSpPr/>
      </xdr:nvSpPr>
      <xdr:spPr>
        <a:xfrm>
          <a:off x="114480" y="324000"/>
          <a:ext cx="20134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2</xdr:col>
      <xdr:colOff>97200</xdr:colOff>
      <xdr:row>0</xdr:row>
      <xdr:rowOff>63360</xdr:rowOff>
    </xdr:from>
    <xdr:to>
      <xdr:col>4</xdr:col>
      <xdr:colOff>41760</xdr:colOff>
      <xdr:row>0</xdr:row>
      <xdr:rowOff>245160</xdr:rowOff>
    </xdr:to>
    <xdr:sp>
      <xdr:nvSpPr>
        <xdr:cNvPr id="67" name="Rectangle: Rounded Corners 57">
          <a:hlinkClick r:id="rId2"/>
        </xdr:cNvPr>
        <xdr:cNvSpPr/>
      </xdr:nvSpPr>
      <xdr:spPr>
        <a:xfrm>
          <a:off x="2166120" y="63360"/>
          <a:ext cx="20134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2</xdr:col>
      <xdr:colOff>100080</xdr:colOff>
      <xdr:row>0</xdr:row>
      <xdr:rowOff>324000</xdr:rowOff>
    </xdr:from>
    <xdr:to>
      <xdr:col>4</xdr:col>
      <xdr:colOff>44640</xdr:colOff>
      <xdr:row>0</xdr:row>
      <xdr:rowOff>505800</xdr:rowOff>
    </xdr:to>
    <xdr:sp>
      <xdr:nvSpPr>
        <xdr:cNvPr id="68" name="Rectangle: Rounded Corners 58">
          <a:hlinkClick r:id="rId3"/>
        </xdr:cNvPr>
        <xdr:cNvSpPr/>
      </xdr:nvSpPr>
      <xdr:spPr>
        <a:xfrm>
          <a:off x="2169000" y="324000"/>
          <a:ext cx="20134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4</xdr:col>
      <xdr:colOff>80280</xdr:colOff>
      <xdr:row>0</xdr:row>
      <xdr:rowOff>63360</xdr:rowOff>
    </xdr:from>
    <xdr:to>
      <xdr:col>6</xdr:col>
      <xdr:colOff>25200</xdr:colOff>
      <xdr:row>0</xdr:row>
      <xdr:rowOff>245160</xdr:rowOff>
    </xdr:to>
    <xdr:sp>
      <xdr:nvSpPr>
        <xdr:cNvPr id="69" name="Rectangle: Rounded Corners 59">
          <a:hlinkClick r:id="rId4"/>
        </xdr:cNvPr>
        <xdr:cNvSpPr/>
      </xdr:nvSpPr>
      <xdr:spPr>
        <a:xfrm>
          <a:off x="4218120" y="63360"/>
          <a:ext cx="20134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4</xdr:col>
      <xdr:colOff>85680</xdr:colOff>
      <xdr:row>0</xdr:row>
      <xdr:rowOff>324000</xdr:rowOff>
    </xdr:from>
    <xdr:to>
      <xdr:col>6</xdr:col>
      <xdr:colOff>30600</xdr:colOff>
      <xdr:row>0</xdr:row>
      <xdr:rowOff>505800</xdr:rowOff>
    </xdr:to>
    <xdr:sp>
      <xdr:nvSpPr>
        <xdr:cNvPr id="70" name="Rectangle: Rounded Corners 60">
          <a:hlinkClick r:id="rId5"/>
        </xdr:cNvPr>
        <xdr:cNvSpPr/>
      </xdr:nvSpPr>
      <xdr:spPr>
        <a:xfrm>
          <a:off x="4223520" y="324000"/>
          <a:ext cx="20134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7</xdr:col>
      <xdr:colOff>862920</xdr:colOff>
      <xdr:row>0</xdr:row>
      <xdr:rowOff>63360</xdr:rowOff>
    </xdr:from>
    <xdr:to>
      <xdr:col>9</xdr:col>
      <xdr:colOff>807480</xdr:colOff>
      <xdr:row>0</xdr:row>
      <xdr:rowOff>245160</xdr:rowOff>
    </xdr:to>
    <xdr:sp>
      <xdr:nvSpPr>
        <xdr:cNvPr id="71" name="Rectangle: Rounded Corners 61">
          <a:hlinkClick r:id="rId6"/>
        </xdr:cNvPr>
        <xdr:cNvSpPr/>
      </xdr:nvSpPr>
      <xdr:spPr>
        <a:xfrm>
          <a:off x="8322120" y="63360"/>
          <a:ext cx="2013480" cy="181800"/>
        </a:xfrm>
        <a:prstGeom prst="roundRect">
          <a:avLst>
            <a:gd name="adj" fmla="val 16667"/>
          </a:avLst>
        </a:prstGeom>
        <a:solidFill>
          <a:srgbClr val="4472c4"/>
        </a:solidFill>
        <a:ln w="0">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1"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7</xdr:col>
      <xdr:colOff>873720</xdr:colOff>
      <xdr:row>0</xdr:row>
      <xdr:rowOff>324000</xdr:rowOff>
    </xdr:from>
    <xdr:to>
      <xdr:col>9</xdr:col>
      <xdr:colOff>818280</xdr:colOff>
      <xdr:row>0</xdr:row>
      <xdr:rowOff>505800</xdr:rowOff>
    </xdr:to>
    <xdr:sp>
      <xdr:nvSpPr>
        <xdr:cNvPr id="72" name="Rectangle: Rounded Corners 62">
          <a:hlinkClick r:id="rId7"/>
        </xdr:cNvPr>
        <xdr:cNvSpPr/>
      </xdr:nvSpPr>
      <xdr:spPr>
        <a:xfrm>
          <a:off x="8332920" y="324000"/>
          <a:ext cx="20134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6</xdr:col>
      <xdr:colOff>63720</xdr:colOff>
      <xdr:row>0</xdr:row>
      <xdr:rowOff>63360</xdr:rowOff>
    </xdr:from>
    <xdr:to>
      <xdr:col>7</xdr:col>
      <xdr:colOff>824400</xdr:colOff>
      <xdr:row>0</xdr:row>
      <xdr:rowOff>245160</xdr:rowOff>
    </xdr:to>
    <xdr:sp>
      <xdr:nvSpPr>
        <xdr:cNvPr id="73" name="Rectangle: Rounded Corners 63">
          <a:hlinkClick r:id="rId8"/>
        </xdr:cNvPr>
        <xdr:cNvSpPr/>
      </xdr:nvSpPr>
      <xdr:spPr>
        <a:xfrm>
          <a:off x="6270120" y="63360"/>
          <a:ext cx="20134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6</xdr:col>
      <xdr:colOff>72000</xdr:colOff>
      <xdr:row>0</xdr:row>
      <xdr:rowOff>324000</xdr:rowOff>
    </xdr:from>
    <xdr:to>
      <xdr:col>7</xdr:col>
      <xdr:colOff>832680</xdr:colOff>
      <xdr:row>0</xdr:row>
      <xdr:rowOff>505800</xdr:rowOff>
    </xdr:to>
    <xdr:sp>
      <xdr:nvSpPr>
        <xdr:cNvPr id="74" name="Rectangle: Rounded Corners 64">
          <a:hlinkClick r:id="rId9"/>
        </xdr:cNvPr>
        <xdr:cNvSpPr/>
      </xdr:nvSpPr>
      <xdr:spPr>
        <a:xfrm>
          <a:off x="6278400" y="324000"/>
          <a:ext cx="20134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2</xdr:col>
      <xdr:colOff>59040</xdr:colOff>
      <xdr:row>0</xdr:row>
      <xdr:rowOff>245160</xdr:rowOff>
    </xdr:to>
    <xdr:sp>
      <xdr:nvSpPr>
        <xdr:cNvPr id="75" name="Rectangle: Rounded Corners 65">
          <a:hlinkClick r:id="rId10"/>
        </xdr:cNvPr>
        <xdr:cNvSpPr/>
      </xdr:nvSpPr>
      <xdr:spPr>
        <a:xfrm>
          <a:off x="114480" y="63360"/>
          <a:ext cx="20134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9</xdr:col>
      <xdr:colOff>846000</xdr:colOff>
      <xdr:row>0</xdr:row>
      <xdr:rowOff>63360</xdr:rowOff>
    </xdr:from>
    <xdr:to>
      <xdr:col>11</xdr:col>
      <xdr:colOff>790560</xdr:colOff>
      <xdr:row>0</xdr:row>
      <xdr:rowOff>245160</xdr:rowOff>
    </xdr:to>
    <xdr:sp>
      <xdr:nvSpPr>
        <xdr:cNvPr id="76" name="Rectangle: Rounded Corners 66">
          <a:hlinkClick r:id="rId11"/>
        </xdr:cNvPr>
        <xdr:cNvSpPr/>
      </xdr:nvSpPr>
      <xdr:spPr>
        <a:xfrm>
          <a:off x="10374120" y="63360"/>
          <a:ext cx="20134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9</xdr:col>
      <xdr:colOff>859320</xdr:colOff>
      <xdr:row>0</xdr:row>
      <xdr:rowOff>324000</xdr:rowOff>
    </xdr:from>
    <xdr:to>
      <xdr:col>11</xdr:col>
      <xdr:colOff>803880</xdr:colOff>
      <xdr:row>0</xdr:row>
      <xdr:rowOff>505800</xdr:rowOff>
    </xdr:to>
    <xdr:sp>
      <xdr:nvSpPr>
        <xdr:cNvPr id="77" name="Rectangle: Rounded Corners 67">
          <a:hlinkClick r:id="rId12"/>
        </xdr:cNvPr>
        <xdr:cNvSpPr/>
      </xdr:nvSpPr>
      <xdr:spPr>
        <a:xfrm>
          <a:off x="10387440" y="324000"/>
          <a:ext cx="20134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11</xdr:col>
      <xdr:colOff>829080</xdr:colOff>
      <xdr:row>0</xdr:row>
      <xdr:rowOff>63360</xdr:rowOff>
    </xdr:from>
    <xdr:to>
      <xdr:col>13</xdr:col>
      <xdr:colOff>676440</xdr:colOff>
      <xdr:row>0</xdr:row>
      <xdr:rowOff>245160</xdr:rowOff>
    </xdr:to>
    <xdr:sp>
      <xdr:nvSpPr>
        <xdr:cNvPr id="78" name="Rectangle: Rounded Corners 68">
          <a:hlinkClick r:id="rId13"/>
        </xdr:cNvPr>
        <xdr:cNvSpPr/>
      </xdr:nvSpPr>
      <xdr:spPr>
        <a:xfrm>
          <a:off x="12426120" y="63360"/>
          <a:ext cx="201276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11</xdr:col>
      <xdr:colOff>845280</xdr:colOff>
      <xdr:row>0</xdr:row>
      <xdr:rowOff>324000</xdr:rowOff>
    </xdr:from>
    <xdr:to>
      <xdr:col>13</xdr:col>
      <xdr:colOff>692640</xdr:colOff>
      <xdr:row>0</xdr:row>
      <xdr:rowOff>505800</xdr:rowOff>
    </xdr:to>
    <xdr:sp>
      <xdr:nvSpPr>
        <xdr:cNvPr id="79" name="Rectangle: Rounded Corners 69">
          <a:hlinkClick r:id="rId14"/>
        </xdr:cNvPr>
        <xdr:cNvSpPr/>
      </xdr:nvSpPr>
      <xdr:spPr>
        <a:xfrm>
          <a:off x="12442320" y="324000"/>
          <a:ext cx="201276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twoCell">
    <xdr:from>
      <xdr:col>0</xdr:col>
      <xdr:colOff>120600</xdr:colOff>
      <xdr:row>1</xdr:row>
      <xdr:rowOff>31680</xdr:rowOff>
    </xdr:from>
    <xdr:to>
      <xdr:col>1</xdr:col>
      <xdr:colOff>398880</xdr:colOff>
      <xdr:row>1</xdr:row>
      <xdr:rowOff>233640</xdr:rowOff>
    </xdr:to>
    <xdr:sp>
      <xdr:nvSpPr>
        <xdr:cNvPr id="80" name="Rectangle: Rounded Corners 8"/>
        <xdr:cNvSpPr/>
      </xdr:nvSpPr>
      <xdr:spPr>
        <a:xfrm>
          <a:off x="120600" y="603360"/>
          <a:ext cx="2759760" cy="201960"/>
        </a:xfrm>
        <a:prstGeom prst="roundRect">
          <a:avLst>
            <a:gd name="adj" fmla="val 16667"/>
          </a:avLst>
        </a:prstGeom>
        <a:solidFill>
          <a:srgbClr val="ffffff"/>
        </a:solidFill>
        <a:ln w="0">
          <a:no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ffffff"/>
              </a:solidFill>
              <a:latin typeface="Calibri"/>
            </a:rPr>
            <a:t>Show Gl's Monitored</a:t>
          </a:r>
          <a:endParaRPr b="0" lang="en-IN" sz="1100" spc="-1" strike="noStrike">
            <a:latin typeface="Times New Roman"/>
          </a:endParaRPr>
        </a:p>
      </xdr:txBody>
    </xdr:sp>
    <xdr:clientData/>
  </xdr:twoCellAnchor>
  <xdr:twoCellAnchor editAs="twoCell">
    <xdr:from>
      <xdr:col>1</xdr:col>
      <xdr:colOff>514440</xdr:colOff>
      <xdr:row>1</xdr:row>
      <xdr:rowOff>25560</xdr:rowOff>
    </xdr:from>
    <xdr:to>
      <xdr:col>1</xdr:col>
      <xdr:colOff>1421280</xdr:colOff>
      <xdr:row>1</xdr:row>
      <xdr:rowOff>240480</xdr:rowOff>
    </xdr:to>
    <xdr:sp>
      <xdr:nvSpPr>
        <xdr:cNvPr id="81" name="Rectangle: Rounded Corners 9"/>
        <xdr:cNvSpPr/>
      </xdr:nvSpPr>
      <xdr:spPr>
        <a:xfrm>
          <a:off x="2995920" y="597240"/>
          <a:ext cx="906840" cy="214920"/>
        </a:xfrm>
        <a:prstGeom prst="roundRect">
          <a:avLst>
            <a:gd name="adj" fmla="val 16667"/>
          </a:avLst>
        </a:prstGeom>
        <a:solidFill>
          <a:srgbClr val="ffffff"/>
        </a:solidFill>
        <a:ln w="0">
          <a:no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ffffff"/>
              </a:solidFill>
              <a:latin typeface="Calibri"/>
            </a:rPr>
            <a:t>Clear</a:t>
          </a:r>
          <a:endParaRPr b="0" lang="en-IN" sz="1100" spc="-1" strike="noStrike">
            <a:latin typeface="Times New Roman"/>
          </a:endParaRPr>
        </a:p>
      </xdr:txBody>
    </xdr:sp>
    <xdr:clientData/>
  </xdr:twoCellAnchor>
  <xdr:twoCellAnchor editAs="twoCell">
    <xdr:from>
      <xdr:col>3</xdr:col>
      <xdr:colOff>501480</xdr:colOff>
      <xdr:row>1004</xdr:row>
      <xdr:rowOff>12600</xdr:rowOff>
    </xdr:from>
    <xdr:to>
      <xdr:col>3</xdr:col>
      <xdr:colOff>1414800</xdr:colOff>
      <xdr:row>1004</xdr:row>
      <xdr:rowOff>176760</xdr:rowOff>
    </xdr:to>
    <xdr:sp>
      <xdr:nvSpPr>
        <xdr:cNvPr id="82" name="Rectangle: Rounded Corners 13"/>
        <xdr:cNvSpPr/>
      </xdr:nvSpPr>
      <xdr:spPr>
        <a:xfrm>
          <a:off x="8568000" y="182502000"/>
          <a:ext cx="913320" cy="164160"/>
        </a:xfrm>
        <a:prstGeom prst="roundRect">
          <a:avLst>
            <a:gd name="adj" fmla="val 16667"/>
          </a:avLst>
        </a:prstGeom>
        <a:solidFill>
          <a:srgbClr val="ffffff"/>
        </a:solidFill>
        <a:ln w="0">
          <a:no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ffffff"/>
              </a:solidFill>
              <a:latin typeface="Calibri"/>
            </a:rPr>
            <a:t>Move Up</a:t>
          </a:r>
          <a:endParaRPr b="0" lang="en-IN" sz="1100" spc="-1" strike="noStrike">
            <a:latin typeface="Times New Roman"/>
          </a:endParaRPr>
        </a:p>
      </xdr:txBody>
    </xdr:sp>
    <xdr:clientData/>
  </xdr:twoCellAnchor>
  <xdr:twoCellAnchor editAs="twoCell">
    <xdr:from>
      <xdr:col>2</xdr:col>
      <xdr:colOff>222120</xdr:colOff>
      <xdr:row>1004</xdr:row>
      <xdr:rowOff>12600</xdr:rowOff>
    </xdr:from>
    <xdr:to>
      <xdr:col>3</xdr:col>
      <xdr:colOff>246600</xdr:colOff>
      <xdr:row>1004</xdr:row>
      <xdr:rowOff>182880</xdr:rowOff>
    </xdr:to>
    <xdr:sp>
      <xdr:nvSpPr>
        <xdr:cNvPr id="83" name="Rectangle: Rounded Corners 14"/>
        <xdr:cNvSpPr/>
      </xdr:nvSpPr>
      <xdr:spPr>
        <a:xfrm>
          <a:off x="6365160" y="182502000"/>
          <a:ext cx="1947960" cy="170280"/>
        </a:xfrm>
        <a:prstGeom prst="roundRect">
          <a:avLst>
            <a:gd name="adj" fmla="val 16667"/>
          </a:avLst>
        </a:prstGeom>
        <a:solidFill>
          <a:srgbClr val="ffffff"/>
        </a:solidFill>
        <a:ln w="0">
          <a:no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ffffff"/>
              </a:solidFill>
              <a:latin typeface="Calibri"/>
            </a:rPr>
            <a:t>Show Gl's Monitored</a:t>
          </a:r>
          <a:endParaRPr b="0" lang="en-IN" sz="1100" spc="-1" strike="noStrike">
            <a:latin typeface="Times New Roman"/>
          </a:endParaRPr>
        </a:p>
      </xdr:txBody>
    </xdr:sp>
    <xdr:clientData/>
  </xdr:twoCellAnchor>
  <xdr:twoCellAnchor editAs="absolute">
    <xdr:from>
      <xdr:col>0</xdr:col>
      <xdr:colOff>114480</xdr:colOff>
      <xdr:row>0</xdr:row>
      <xdr:rowOff>324000</xdr:rowOff>
    </xdr:from>
    <xdr:to>
      <xdr:col>0</xdr:col>
      <xdr:colOff>2172960</xdr:colOff>
      <xdr:row>0</xdr:row>
      <xdr:rowOff>505800</xdr:rowOff>
    </xdr:to>
    <xdr:sp>
      <xdr:nvSpPr>
        <xdr:cNvPr id="84" name="Rectangle: Rounded Corners 20">
          <a:hlinkClick r:id="rId1"/>
        </xdr:cNvPr>
        <xdr:cNvSpPr/>
      </xdr:nvSpPr>
      <xdr:spPr>
        <a:xfrm>
          <a:off x="114480" y="324000"/>
          <a:ext cx="20584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0</xdr:col>
      <xdr:colOff>2212200</xdr:colOff>
      <xdr:row>0</xdr:row>
      <xdr:rowOff>63360</xdr:rowOff>
    </xdr:from>
    <xdr:to>
      <xdr:col>1</xdr:col>
      <xdr:colOff>1789200</xdr:colOff>
      <xdr:row>0</xdr:row>
      <xdr:rowOff>245160</xdr:rowOff>
    </xdr:to>
    <xdr:sp>
      <xdr:nvSpPr>
        <xdr:cNvPr id="85" name="Rectangle: Rounded Corners 21">
          <a:hlinkClick r:id="rId2"/>
        </xdr:cNvPr>
        <xdr:cNvSpPr/>
      </xdr:nvSpPr>
      <xdr:spPr>
        <a:xfrm>
          <a:off x="2212200" y="63360"/>
          <a:ext cx="20584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0</xdr:col>
      <xdr:colOff>2215080</xdr:colOff>
      <xdr:row>0</xdr:row>
      <xdr:rowOff>324000</xdr:rowOff>
    </xdr:from>
    <xdr:to>
      <xdr:col>1</xdr:col>
      <xdr:colOff>1792080</xdr:colOff>
      <xdr:row>0</xdr:row>
      <xdr:rowOff>505800</xdr:rowOff>
    </xdr:to>
    <xdr:sp>
      <xdr:nvSpPr>
        <xdr:cNvPr id="86" name="Rectangle: Rounded Corners 22">
          <a:hlinkClick r:id="rId3"/>
        </xdr:cNvPr>
        <xdr:cNvSpPr/>
      </xdr:nvSpPr>
      <xdr:spPr>
        <a:xfrm>
          <a:off x="2215080" y="324000"/>
          <a:ext cx="20584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1</xdr:col>
      <xdr:colOff>1828800</xdr:colOff>
      <xdr:row>0</xdr:row>
      <xdr:rowOff>63360</xdr:rowOff>
    </xdr:from>
    <xdr:to>
      <xdr:col>2</xdr:col>
      <xdr:colOff>225720</xdr:colOff>
      <xdr:row>0</xdr:row>
      <xdr:rowOff>245160</xdr:rowOff>
    </xdr:to>
    <xdr:sp>
      <xdr:nvSpPr>
        <xdr:cNvPr id="87" name="Rectangle: Rounded Corners 23">
          <a:hlinkClick r:id="rId4"/>
        </xdr:cNvPr>
        <xdr:cNvSpPr/>
      </xdr:nvSpPr>
      <xdr:spPr>
        <a:xfrm>
          <a:off x="4310280" y="63360"/>
          <a:ext cx="20584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1</xdr:col>
      <xdr:colOff>1834200</xdr:colOff>
      <xdr:row>0</xdr:row>
      <xdr:rowOff>324000</xdr:rowOff>
    </xdr:from>
    <xdr:to>
      <xdr:col>2</xdr:col>
      <xdr:colOff>231120</xdr:colOff>
      <xdr:row>0</xdr:row>
      <xdr:rowOff>505800</xdr:rowOff>
    </xdr:to>
    <xdr:sp>
      <xdr:nvSpPr>
        <xdr:cNvPr id="88" name="Rectangle: Rounded Corners 24">
          <a:hlinkClick r:id="rId5"/>
        </xdr:cNvPr>
        <xdr:cNvSpPr/>
      </xdr:nvSpPr>
      <xdr:spPr>
        <a:xfrm>
          <a:off x="4315680" y="324000"/>
          <a:ext cx="20584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3</xdr:col>
      <xdr:colOff>439560</xdr:colOff>
      <xdr:row>0</xdr:row>
      <xdr:rowOff>63360</xdr:rowOff>
    </xdr:from>
    <xdr:to>
      <xdr:col>4</xdr:col>
      <xdr:colOff>64800</xdr:colOff>
      <xdr:row>0</xdr:row>
      <xdr:rowOff>245160</xdr:rowOff>
    </xdr:to>
    <xdr:sp>
      <xdr:nvSpPr>
        <xdr:cNvPr id="89" name="Rectangle: Rounded Corners 25">
          <a:hlinkClick r:id="rId6"/>
        </xdr:cNvPr>
        <xdr:cNvSpPr/>
      </xdr:nvSpPr>
      <xdr:spPr>
        <a:xfrm>
          <a:off x="8506080" y="63360"/>
          <a:ext cx="205776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3</xdr:col>
      <xdr:colOff>450360</xdr:colOff>
      <xdr:row>0</xdr:row>
      <xdr:rowOff>324000</xdr:rowOff>
    </xdr:from>
    <xdr:to>
      <xdr:col>4</xdr:col>
      <xdr:colOff>75600</xdr:colOff>
      <xdr:row>0</xdr:row>
      <xdr:rowOff>505800</xdr:rowOff>
    </xdr:to>
    <xdr:sp>
      <xdr:nvSpPr>
        <xdr:cNvPr id="90" name="Rectangle: Rounded Corners 26">
          <a:hlinkClick r:id="rId7"/>
        </xdr:cNvPr>
        <xdr:cNvSpPr/>
      </xdr:nvSpPr>
      <xdr:spPr>
        <a:xfrm>
          <a:off x="8516880" y="324000"/>
          <a:ext cx="205776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2</xdr:col>
      <xdr:colOff>264960</xdr:colOff>
      <xdr:row>0</xdr:row>
      <xdr:rowOff>63360</xdr:rowOff>
    </xdr:from>
    <xdr:to>
      <xdr:col>3</xdr:col>
      <xdr:colOff>399960</xdr:colOff>
      <xdr:row>0</xdr:row>
      <xdr:rowOff>245160</xdr:rowOff>
    </xdr:to>
    <xdr:sp>
      <xdr:nvSpPr>
        <xdr:cNvPr id="91" name="Rectangle: Rounded Corners 27">
          <a:hlinkClick r:id="rId8"/>
        </xdr:cNvPr>
        <xdr:cNvSpPr/>
      </xdr:nvSpPr>
      <xdr:spPr>
        <a:xfrm>
          <a:off x="6408000" y="63360"/>
          <a:ext cx="20584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2</xdr:col>
      <xdr:colOff>273240</xdr:colOff>
      <xdr:row>0</xdr:row>
      <xdr:rowOff>324000</xdr:rowOff>
    </xdr:from>
    <xdr:to>
      <xdr:col>3</xdr:col>
      <xdr:colOff>408240</xdr:colOff>
      <xdr:row>0</xdr:row>
      <xdr:rowOff>505800</xdr:rowOff>
    </xdr:to>
    <xdr:sp>
      <xdr:nvSpPr>
        <xdr:cNvPr id="92" name="Rectangle: Rounded Corners 28">
          <a:hlinkClick r:id="rId9"/>
        </xdr:cNvPr>
        <xdr:cNvSpPr/>
      </xdr:nvSpPr>
      <xdr:spPr>
        <a:xfrm>
          <a:off x="6416280" y="324000"/>
          <a:ext cx="20584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0</xdr:col>
      <xdr:colOff>2172960</xdr:colOff>
      <xdr:row>0</xdr:row>
      <xdr:rowOff>245160</xdr:rowOff>
    </xdr:to>
    <xdr:sp>
      <xdr:nvSpPr>
        <xdr:cNvPr id="93" name="Rectangle: Rounded Corners 29">
          <a:hlinkClick r:id="rId10"/>
        </xdr:cNvPr>
        <xdr:cNvSpPr/>
      </xdr:nvSpPr>
      <xdr:spPr>
        <a:xfrm>
          <a:off x="114480" y="63360"/>
          <a:ext cx="20584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4</xdr:col>
      <xdr:colOff>104040</xdr:colOff>
      <xdr:row>0</xdr:row>
      <xdr:rowOff>63360</xdr:rowOff>
    </xdr:from>
    <xdr:to>
      <xdr:col>5</xdr:col>
      <xdr:colOff>367920</xdr:colOff>
      <xdr:row>0</xdr:row>
      <xdr:rowOff>245160</xdr:rowOff>
    </xdr:to>
    <xdr:sp>
      <xdr:nvSpPr>
        <xdr:cNvPr id="94" name="Rectangle: Rounded Corners 30">
          <a:hlinkClick r:id="rId11"/>
        </xdr:cNvPr>
        <xdr:cNvSpPr/>
      </xdr:nvSpPr>
      <xdr:spPr>
        <a:xfrm>
          <a:off x="10603080" y="63360"/>
          <a:ext cx="2058480" cy="181800"/>
        </a:xfrm>
        <a:prstGeom prst="roundRect">
          <a:avLst>
            <a:gd name="adj" fmla="val 16667"/>
          </a:avLst>
        </a:prstGeom>
        <a:solidFill>
          <a:srgbClr val="4472c4"/>
        </a:solidFill>
        <a:ln w="0">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1"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4</xdr:col>
      <xdr:colOff>117720</xdr:colOff>
      <xdr:row>0</xdr:row>
      <xdr:rowOff>324000</xdr:rowOff>
    </xdr:from>
    <xdr:to>
      <xdr:col>5</xdr:col>
      <xdr:colOff>381600</xdr:colOff>
      <xdr:row>0</xdr:row>
      <xdr:rowOff>505800</xdr:rowOff>
    </xdr:to>
    <xdr:sp>
      <xdr:nvSpPr>
        <xdr:cNvPr id="95" name="Rectangle: Rounded Corners 31">
          <a:hlinkClick r:id="rId12"/>
        </xdr:cNvPr>
        <xdr:cNvSpPr/>
      </xdr:nvSpPr>
      <xdr:spPr>
        <a:xfrm>
          <a:off x="10616760" y="324000"/>
          <a:ext cx="20584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5</xdr:col>
      <xdr:colOff>407520</xdr:colOff>
      <xdr:row>0</xdr:row>
      <xdr:rowOff>63360</xdr:rowOff>
    </xdr:from>
    <xdr:to>
      <xdr:col>6</xdr:col>
      <xdr:colOff>396720</xdr:colOff>
      <xdr:row>0</xdr:row>
      <xdr:rowOff>245160</xdr:rowOff>
    </xdr:to>
    <xdr:sp>
      <xdr:nvSpPr>
        <xdr:cNvPr id="96" name="Rectangle: Rounded Corners 32">
          <a:hlinkClick r:id="rId13"/>
        </xdr:cNvPr>
        <xdr:cNvSpPr/>
      </xdr:nvSpPr>
      <xdr:spPr>
        <a:xfrm>
          <a:off x="12701160" y="63360"/>
          <a:ext cx="205920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5</xdr:col>
      <xdr:colOff>423720</xdr:colOff>
      <xdr:row>0</xdr:row>
      <xdr:rowOff>324000</xdr:rowOff>
    </xdr:from>
    <xdr:to>
      <xdr:col>6</xdr:col>
      <xdr:colOff>412920</xdr:colOff>
      <xdr:row>0</xdr:row>
      <xdr:rowOff>505800</xdr:rowOff>
    </xdr:to>
    <xdr:sp>
      <xdr:nvSpPr>
        <xdr:cNvPr id="97" name="Rectangle: Rounded Corners 33">
          <a:hlinkClick r:id="rId14"/>
        </xdr:cNvPr>
        <xdr:cNvSpPr/>
      </xdr:nvSpPr>
      <xdr:spPr>
        <a:xfrm>
          <a:off x="12717360" y="324000"/>
          <a:ext cx="205920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2</xdr:col>
      <xdr:colOff>396360</xdr:colOff>
      <xdr:row>0</xdr:row>
      <xdr:rowOff>505800</xdr:rowOff>
    </xdr:to>
    <xdr:sp>
      <xdr:nvSpPr>
        <xdr:cNvPr id="98" name="Rectangle: Rounded Corners 2">
          <a:hlinkClick r:id="rId1"/>
        </xdr:cNvPr>
        <xdr:cNvSpPr/>
      </xdr:nvSpPr>
      <xdr:spPr>
        <a:xfrm>
          <a:off x="114480" y="324000"/>
          <a:ext cx="20275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2</xdr:col>
      <xdr:colOff>434880</xdr:colOff>
      <xdr:row>0</xdr:row>
      <xdr:rowOff>63360</xdr:rowOff>
    </xdr:from>
    <xdr:to>
      <xdr:col>2</xdr:col>
      <xdr:colOff>2462400</xdr:colOff>
      <xdr:row>0</xdr:row>
      <xdr:rowOff>245160</xdr:rowOff>
    </xdr:to>
    <xdr:sp>
      <xdr:nvSpPr>
        <xdr:cNvPr id="99" name="Rectangle: Rounded Corners 3">
          <a:hlinkClick r:id="rId2"/>
        </xdr:cNvPr>
        <xdr:cNvSpPr/>
      </xdr:nvSpPr>
      <xdr:spPr>
        <a:xfrm>
          <a:off x="2180520" y="63360"/>
          <a:ext cx="20275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2</xdr:col>
      <xdr:colOff>437760</xdr:colOff>
      <xdr:row>0</xdr:row>
      <xdr:rowOff>324000</xdr:rowOff>
    </xdr:from>
    <xdr:to>
      <xdr:col>2</xdr:col>
      <xdr:colOff>2465280</xdr:colOff>
      <xdr:row>0</xdr:row>
      <xdr:rowOff>505800</xdr:rowOff>
    </xdr:to>
    <xdr:sp>
      <xdr:nvSpPr>
        <xdr:cNvPr id="100" name="Rectangle: Rounded Corners 4">
          <a:hlinkClick r:id="rId3"/>
        </xdr:cNvPr>
        <xdr:cNvSpPr/>
      </xdr:nvSpPr>
      <xdr:spPr>
        <a:xfrm>
          <a:off x="2183400" y="324000"/>
          <a:ext cx="202752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2</xdr:col>
      <xdr:colOff>2501280</xdr:colOff>
      <xdr:row>0</xdr:row>
      <xdr:rowOff>63360</xdr:rowOff>
    </xdr:from>
    <xdr:to>
      <xdr:col>3</xdr:col>
      <xdr:colOff>988200</xdr:colOff>
      <xdr:row>0</xdr:row>
      <xdr:rowOff>245160</xdr:rowOff>
    </xdr:to>
    <xdr:sp>
      <xdr:nvSpPr>
        <xdr:cNvPr id="101" name="Rectangle: Rounded Corners 5">
          <a:hlinkClick r:id="rId4"/>
        </xdr:cNvPr>
        <xdr:cNvSpPr/>
      </xdr:nvSpPr>
      <xdr:spPr>
        <a:xfrm>
          <a:off x="4246920" y="63360"/>
          <a:ext cx="20275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2</xdr:col>
      <xdr:colOff>2506680</xdr:colOff>
      <xdr:row>0</xdr:row>
      <xdr:rowOff>324000</xdr:rowOff>
    </xdr:from>
    <xdr:to>
      <xdr:col>3</xdr:col>
      <xdr:colOff>993600</xdr:colOff>
      <xdr:row>0</xdr:row>
      <xdr:rowOff>505800</xdr:rowOff>
    </xdr:to>
    <xdr:sp>
      <xdr:nvSpPr>
        <xdr:cNvPr id="102" name="Rectangle: Rounded Corners 6">
          <a:hlinkClick r:id="rId5"/>
        </xdr:cNvPr>
        <xdr:cNvSpPr/>
      </xdr:nvSpPr>
      <xdr:spPr>
        <a:xfrm>
          <a:off x="4252320" y="324000"/>
          <a:ext cx="202752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3</xdr:col>
      <xdr:colOff>3093480</xdr:colOff>
      <xdr:row>0</xdr:row>
      <xdr:rowOff>63360</xdr:rowOff>
    </xdr:from>
    <xdr:to>
      <xdr:col>4</xdr:col>
      <xdr:colOff>238320</xdr:colOff>
      <xdr:row>0</xdr:row>
      <xdr:rowOff>245160</xdr:rowOff>
    </xdr:to>
    <xdr:sp>
      <xdr:nvSpPr>
        <xdr:cNvPr id="103" name="Rectangle: Rounded Corners 7">
          <a:hlinkClick r:id="rId6"/>
        </xdr:cNvPr>
        <xdr:cNvSpPr/>
      </xdr:nvSpPr>
      <xdr:spPr>
        <a:xfrm>
          <a:off x="8379720" y="63360"/>
          <a:ext cx="20275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3</xdr:col>
      <xdr:colOff>3103920</xdr:colOff>
      <xdr:row>0</xdr:row>
      <xdr:rowOff>324000</xdr:rowOff>
    </xdr:from>
    <xdr:to>
      <xdr:col>4</xdr:col>
      <xdr:colOff>248760</xdr:colOff>
      <xdr:row>0</xdr:row>
      <xdr:rowOff>505800</xdr:rowOff>
    </xdr:to>
    <xdr:sp>
      <xdr:nvSpPr>
        <xdr:cNvPr id="104" name="Rectangle: Rounded Corners 8">
          <a:hlinkClick r:id="rId7"/>
        </xdr:cNvPr>
        <xdr:cNvSpPr/>
      </xdr:nvSpPr>
      <xdr:spPr>
        <a:xfrm>
          <a:off x="8390160" y="324000"/>
          <a:ext cx="202752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3</xdr:col>
      <xdr:colOff>1027080</xdr:colOff>
      <xdr:row>0</xdr:row>
      <xdr:rowOff>63360</xdr:rowOff>
    </xdr:from>
    <xdr:to>
      <xdr:col>3</xdr:col>
      <xdr:colOff>3054600</xdr:colOff>
      <xdr:row>0</xdr:row>
      <xdr:rowOff>245160</xdr:rowOff>
    </xdr:to>
    <xdr:sp>
      <xdr:nvSpPr>
        <xdr:cNvPr id="105" name="Rectangle: Rounded Corners 9">
          <a:hlinkClick r:id="rId8"/>
        </xdr:cNvPr>
        <xdr:cNvSpPr/>
      </xdr:nvSpPr>
      <xdr:spPr>
        <a:xfrm>
          <a:off x="6313320" y="63360"/>
          <a:ext cx="20275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3</xdr:col>
      <xdr:colOff>1035000</xdr:colOff>
      <xdr:row>0</xdr:row>
      <xdr:rowOff>324000</xdr:rowOff>
    </xdr:from>
    <xdr:to>
      <xdr:col>3</xdr:col>
      <xdr:colOff>3062520</xdr:colOff>
      <xdr:row>0</xdr:row>
      <xdr:rowOff>505800</xdr:rowOff>
    </xdr:to>
    <xdr:sp>
      <xdr:nvSpPr>
        <xdr:cNvPr id="106" name="Rectangle: Rounded Corners 10">
          <a:hlinkClick r:id="rId9"/>
        </xdr:cNvPr>
        <xdr:cNvSpPr/>
      </xdr:nvSpPr>
      <xdr:spPr>
        <a:xfrm>
          <a:off x="6321240" y="324000"/>
          <a:ext cx="202752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2</xdr:col>
      <xdr:colOff>396360</xdr:colOff>
      <xdr:row>0</xdr:row>
      <xdr:rowOff>245160</xdr:rowOff>
    </xdr:to>
    <xdr:sp>
      <xdr:nvSpPr>
        <xdr:cNvPr id="107" name="Rectangle: Rounded Corners 11">
          <a:hlinkClick r:id="rId10"/>
        </xdr:cNvPr>
        <xdr:cNvSpPr/>
      </xdr:nvSpPr>
      <xdr:spPr>
        <a:xfrm>
          <a:off x="114480" y="63360"/>
          <a:ext cx="20275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4</xdr:col>
      <xdr:colOff>276840</xdr:colOff>
      <xdr:row>0</xdr:row>
      <xdr:rowOff>63360</xdr:rowOff>
    </xdr:from>
    <xdr:to>
      <xdr:col>6</xdr:col>
      <xdr:colOff>1212840</xdr:colOff>
      <xdr:row>0</xdr:row>
      <xdr:rowOff>245160</xdr:rowOff>
    </xdr:to>
    <xdr:sp>
      <xdr:nvSpPr>
        <xdr:cNvPr id="108" name="Rectangle: Rounded Corners 12">
          <a:hlinkClick r:id="rId11"/>
        </xdr:cNvPr>
        <xdr:cNvSpPr/>
      </xdr:nvSpPr>
      <xdr:spPr>
        <a:xfrm>
          <a:off x="10445760" y="63360"/>
          <a:ext cx="202824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4</xdr:col>
      <xdr:colOff>290520</xdr:colOff>
      <xdr:row>0</xdr:row>
      <xdr:rowOff>324000</xdr:rowOff>
    </xdr:from>
    <xdr:to>
      <xdr:col>6</xdr:col>
      <xdr:colOff>1226520</xdr:colOff>
      <xdr:row>0</xdr:row>
      <xdr:rowOff>505800</xdr:rowOff>
    </xdr:to>
    <xdr:sp>
      <xdr:nvSpPr>
        <xdr:cNvPr id="109" name="Rectangle: Rounded Corners 13">
          <a:hlinkClick r:id="rId12"/>
        </xdr:cNvPr>
        <xdr:cNvSpPr/>
      </xdr:nvSpPr>
      <xdr:spPr>
        <a:xfrm>
          <a:off x="10459440" y="324000"/>
          <a:ext cx="202824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6</xdr:col>
      <xdr:colOff>1251720</xdr:colOff>
      <xdr:row>0</xdr:row>
      <xdr:rowOff>63360</xdr:rowOff>
    </xdr:from>
    <xdr:to>
      <xdr:col>8</xdr:col>
      <xdr:colOff>320760</xdr:colOff>
      <xdr:row>0</xdr:row>
      <xdr:rowOff>245160</xdr:rowOff>
    </xdr:to>
    <xdr:sp>
      <xdr:nvSpPr>
        <xdr:cNvPr id="110" name="Rectangle: Rounded Corners 14">
          <a:hlinkClick r:id="rId13"/>
        </xdr:cNvPr>
        <xdr:cNvSpPr/>
      </xdr:nvSpPr>
      <xdr:spPr>
        <a:xfrm>
          <a:off x="12512880" y="63360"/>
          <a:ext cx="2026080" cy="181800"/>
        </a:xfrm>
        <a:prstGeom prst="roundRect">
          <a:avLst>
            <a:gd name="adj" fmla="val 16667"/>
          </a:avLst>
        </a:prstGeom>
        <a:solidFill>
          <a:srgbClr val="4472c4"/>
        </a:solidFill>
        <a:ln w="0">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1"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6</xdr:col>
      <xdr:colOff>1267920</xdr:colOff>
      <xdr:row>0</xdr:row>
      <xdr:rowOff>324000</xdr:rowOff>
    </xdr:from>
    <xdr:to>
      <xdr:col>8</xdr:col>
      <xdr:colOff>336960</xdr:colOff>
      <xdr:row>0</xdr:row>
      <xdr:rowOff>505800</xdr:rowOff>
    </xdr:to>
    <xdr:sp>
      <xdr:nvSpPr>
        <xdr:cNvPr id="111" name="Rectangle: Rounded Corners 15">
          <a:hlinkClick r:id="rId14"/>
        </xdr:cNvPr>
        <xdr:cNvSpPr/>
      </xdr:nvSpPr>
      <xdr:spPr>
        <a:xfrm>
          <a:off x="12529080" y="324000"/>
          <a:ext cx="20260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2</xdr:col>
      <xdr:colOff>541800</xdr:colOff>
      <xdr:row>0</xdr:row>
      <xdr:rowOff>505800</xdr:rowOff>
    </xdr:to>
    <xdr:sp>
      <xdr:nvSpPr>
        <xdr:cNvPr id="112" name="Rectangle: Rounded Corners 2">
          <a:hlinkClick r:id="rId1"/>
        </xdr:cNvPr>
        <xdr:cNvSpPr/>
      </xdr:nvSpPr>
      <xdr:spPr>
        <a:xfrm>
          <a:off x="114480" y="324000"/>
          <a:ext cx="2010960" cy="181800"/>
        </a:xfrm>
        <a:prstGeom prst="roundRect">
          <a:avLst>
            <a:gd name="adj" fmla="val 16667"/>
          </a:avLst>
        </a:prstGeom>
        <a:solidFill>
          <a:srgbClr val="4472c4"/>
        </a:solidFill>
        <a:ln w="0">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1"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2</xdr:col>
      <xdr:colOff>580320</xdr:colOff>
      <xdr:row>0</xdr:row>
      <xdr:rowOff>63360</xdr:rowOff>
    </xdr:from>
    <xdr:to>
      <xdr:col>3</xdr:col>
      <xdr:colOff>1403280</xdr:colOff>
      <xdr:row>0</xdr:row>
      <xdr:rowOff>245160</xdr:rowOff>
    </xdr:to>
    <xdr:sp>
      <xdr:nvSpPr>
        <xdr:cNvPr id="113" name="Rectangle: Rounded Corners 3">
          <a:hlinkClick r:id="rId2"/>
        </xdr:cNvPr>
        <xdr:cNvSpPr/>
      </xdr:nvSpPr>
      <xdr:spPr>
        <a:xfrm>
          <a:off x="2163960" y="63360"/>
          <a:ext cx="201096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2</xdr:col>
      <xdr:colOff>582840</xdr:colOff>
      <xdr:row>0</xdr:row>
      <xdr:rowOff>324000</xdr:rowOff>
    </xdr:from>
    <xdr:to>
      <xdr:col>3</xdr:col>
      <xdr:colOff>1405800</xdr:colOff>
      <xdr:row>0</xdr:row>
      <xdr:rowOff>505800</xdr:rowOff>
    </xdr:to>
    <xdr:sp>
      <xdr:nvSpPr>
        <xdr:cNvPr id="114" name="Rectangle: Rounded Corners 4">
          <a:hlinkClick r:id="rId3"/>
        </xdr:cNvPr>
        <xdr:cNvSpPr/>
      </xdr:nvSpPr>
      <xdr:spPr>
        <a:xfrm>
          <a:off x="2166480" y="324000"/>
          <a:ext cx="201096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3</xdr:col>
      <xdr:colOff>1442160</xdr:colOff>
      <xdr:row>0</xdr:row>
      <xdr:rowOff>63360</xdr:rowOff>
    </xdr:from>
    <xdr:to>
      <xdr:col>4</xdr:col>
      <xdr:colOff>1149120</xdr:colOff>
      <xdr:row>0</xdr:row>
      <xdr:rowOff>245160</xdr:rowOff>
    </xdr:to>
    <xdr:sp>
      <xdr:nvSpPr>
        <xdr:cNvPr id="115" name="Rectangle: Rounded Corners 5">
          <a:hlinkClick r:id="rId4"/>
        </xdr:cNvPr>
        <xdr:cNvSpPr/>
      </xdr:nvSpPr>
      <xdr:spPr>
        <a:xfrm>
          <a:off x="4213800" y="63360"/>
          <a:ext cx="201096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3</xdr:col>
      <xdr:colOff>1447200</xdr:colOff>
      <xdr:row>0</xdr:row>
      <xdr:rowOff>324000</xdr:rowOff>
    </xdr:from>
    <xdr:to>
      <xdr:col>4</xdr:col>
      <xdr:colOff>1154160</xdr:colOff>
      <xdr:row>0</xdr:row>
      <xdr:rowOff>505800</xdr:rowOff>
    </xdr:to>
    <xdr:sp>
      <xdr:nvSpPr>
        <xdr:cNvPr id="116" name="Rectangle: Rounded Corners 6">
          <a:hlinkClick r:id="rId5"/>
        </xdr:cNvPr>
        <xdr:cNvSpPr/>
      </xdr:nvSpPr>
      <xdr:spPr>
        <a:xfrm>
          <a:off x="4218840" y="324000"/>
          <a:ext cx="201096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5</xdr:col>
      <xdr:colOff>877320</xdr:colOff>
      <xdr:row>0</xdr:row>
      <xdr:rowOff>63360</xdr:rowOff>
    </xdr:from>
    <xdr:to>
      <xdr:col>6</xdr:col>
      <xdr:colOff>164880</xdr:colOff>
      <xdr:row>0</xdr:row>
      <xdr:rowOff>245160</xdr:rowOff>
    </xdr:to>
    <xdr:sp>
      <xdr:nvSpPr>
        <xdr:cNvPr id="117" name="Rectangle: Rounded Corners 7">
          <a:hlinkClick r:id="rId6"/>
        </xdr:cNvPr>
        <xdr:cNvSpPr/>
      </xdr:nvSpPr>
      <xdr:spPr>
        <a:xfrm>
          <a:off x="8312400" y="63360"/>
          <a:ext cx="20113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5</xdr:col>
      <xdr:colOff>887760</xdr:colOff>
      <xdr:row>0</xdr:row>
      <xdr:rowOff>324000</xdr:rowOff>
    </xdr:from>
    <xdr:to>
      <xdr:col>6</xdr:col>
      <xdr:colOff>175320</xdr:colOff>
      <xdr:row>0</xdr:row>
      <xdr:rowOff>505800</xdr:rowOff>
    </xdr:to>
    <xdr:sp>
      <xdr:nvSpPr>
        <xdr:cNvPr id="118" name="Rectangle: Rounded Corners 8">
          <a:hlinkClick r:id="rId7"/>
        </xdr:cNvPr>
        <xdr:cNvSpPr/>
      </xdr:nvSpPr>
      <xdr:spPr>
        <a:xfrm>
          <a:off x="8322840" y="324000"/>
          <a:ext cx="201132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4</xdr:col>
      <xdr:colOff>1187640</xdr:colOff>
      <xdr:row>0</xdr:row>
      <xdr:rowOff>63360</xdr:rowOff>
    </xdr:from>
    <xdr:to>
      <xdr:col>5</xdr:col>
      <xdr:colOff>838440</xdr:colOff>
      <xdr:row>0</xdr:row>
      <xdr:rowOff>245160</xdr:rowOff>
    </xdr:to>
    <xdr:sp>
      <xdr:nvSpPr>
        <xdr:cNvPr id="119" name="Rectangle: Rounded Corners 9">
          <a:hlinkClick r:id="rId8"/>
        </xdr:cNvPr>
        <xdr:cNvSpPr/>
      </xdr:nvSpPr>
      <xdr:spPr>
        <a:xfrm>
          <a:off x="6263280" y="63360"/>
          <a:ext cx="201024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4</xdr:col>
      <xdr:colOff>1195560</xdr:colOff>
      <xdr:row>0</xdr:row>
      <xdr:rowOff>324000</xdr:rowOff>
    </xdr:from>
    <xdr:to>
      <xdr:col>5</xdr:col>
      <xdr:colOff>846360</xdr:colOff>
      <xdr:row>0</xdr:row>
      <xdr:rowOff>505800</xdr:rowOff>
    </xdr:to>
    <xdr:sp>
      <xdr:nvSpPr>
        <xdr:cNvPr id="120" name="Rectangle: Rounded Corners 10">
          <a:hlinkClick r:id="rId9"/>
        </xdr:cNvPr>
        <xdr:cNvSpPr/>
      </xdr:nvSpPr>
      <xdr:spPr>
        <a:xfrm>
          <a:off x="6271200" y="324000"/>
          <a:ext cx="201024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2</xdr:col>
      <xdr:colOff>541800</xdr:colOff>
      <xdr:row>0</xdr:row>
      <xdr:rowOff>245160</xdr:rowOff>
    </xdr:to>
    <xdr:sp>
      <xdr:nvSpPr>
        <xdr:cNvPr id="121" name="Rectangle: Rounded Corners 11">
          <a:hlinkClick r:id="rId10"/>
        </xdr:cNvPr>
        <xdr:cNvSpPr/>
      </xdr:nvSpPr>
      <xdr:spPr>
        <a:xfrm>
          <a:off x="114480" y="63360"/>
          <a:ext cx="201096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6</xdr:col>
      <xdr:colOff>203400</xdr:colOff>
      <xdr:row>0</xdr:row>
      <xdr:rowOff>63360</xdr:rowOff>
    </xdr:from>
    <xdr:to>
      <xdr:col>8</xdr:col>
      <xdr:colOff>16920</xdr:colOff>
      <xdr:row>0</xdr:row>
      <xdr:rowOff>245160</xdr:rowOff>
    </xdr:to>
    <xdr:sp>
      <xdr:nvSpPr>
        <xdr:cNvPr id="122" name="Rectangle: Rounded Corners 12">
          <a:hlinkClick r:id="rId11"/>
        </xdr:cNvPr>
        <xdr:cNvSpPr/>
      </xdr:nvSpPr>
      <xdr:spPr>
        <a:xfrm>
          <a:off x="10362240" y="63360"/>
          <a:ext cx="201060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6</xdr:col>
      <xdr:colOff>216720</xdr:colOff>
      <xdr:row>0</xdr:row>
      <xdr:rowOff>324000</xdr:rowOff>
    </xdr:from>
    <xdr:to>
      <xdr:col>8</xdr:col>
      <xdr:colOff>30240</xdr:colOff>
      <xdr:row>0</xdr:row>
      <xdr:rowOff>505800</xdr:rowOff>
    </xdr:to>
    <xdr:sp>
      <xdr:nvSpPr>
        <xdr:cNvPr id="123" name="Rectangle: Rounded Corners 13">
          <a:hlinkClick r:id="rId12"/>
        </xdr:cNvPr>
        <xdr:cNvSpPr/>
      </xdr:nvSpPr>
      <xdr:spPr>
        <a:xfrm>
          <a:off x="10375560" y="324000"/>
          <a:ext cx="201060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8</xdr:col>
      <xdr:colOff>55800</xdr:colOff>
      <xdr:row>0</xdr:row>
      <xdr:rowOff>63360</xdr:rowOff>
    </xdr:from>
    <xdr:to>
      <xdr:col>10</xdr:col>
      <xdr:colOff>549360</xdr:colOff>
      <xdr:row>0</xdr:row>
      <xdr:rowOff>245160</xdr:rowOff>
    </xdr:to>
    <xdr:sp>
      <xdr:nvSpPr>
        <xdr:cNvPr id="124" name="Rectangle: Rounded Corners 14">
          <a:hlinkClick r:id="rId13"/>
        </xdr:cNvPr>
        <xdr:cNvSpPr/>
      </xdr:nvSpPr>
      <xdr:spPr>
        <a:xfrm>
          <a:off x="12411720" y="63360"/>
          <a:ext cx="201240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8</xdr:col>
      <xdr:colOff>71640</xdr:colOff>
      <xdr:row>0</xdr:row>
      <xdr:rowOff>324000</xdr:rowOff>
    </xdr:from>
    <xdr:to>
      <xdr:col>10</xdr:col>
      <xdr:colOff>565200</xdr:colOff>
      <xdr:row>0</xdr:row>
      <xdr:rowOff>505800</xdr:rowOff>
    </xdr:to>
    <xdr:sp>
      <xdr:nvSpPr>
        <xdr:cNvPr id="125" name="Rectangle: Rounded Corners 15">
          <a:hlinkClick r:id="rId14"/>
        </xdr:cNvPr>
        <xdr:cNvSpPr/>
      </xdr:nvSpPr>
      <xdr:spPr>
        <a:xfrm>
          <a:off x="12427560" y="324000"/>
          <a:ext cx="201240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1</xdr:col>
      <xdr:colOff>730800</xdr:colOff>
      <xdr:row>0</xdr:row>
      <xdr:rowOff>505800</xdr:rowOff>
    </xdr:to>
    <xdr:sp>
      <xdr:nvSpPr>
        <xdr:cNvPr id="126" name="Rectangle: Rounded Corners 28">
          <a:hlinkClick r:id="rId1"/>
        </xdr:cNvPr>
        <xdr:cNvSpPr/>
      </xdr:nvSpPr>
      <xdr:spPr>
        <a:xfrm>
          <a:off x="114480" y="324000"/>
          <a:ext cx="203940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1</xdr:col>
      <xdr:colOff>769680</xdr:colOff>
      <xdr:row>0</xdr:row>
      <xdr:rowOff>63360</xdr:rowOff>
    </xdr:from>
    <xdr:to>
      <xdr:col>1</xdr:col>
      <xdr:colOff>2809080</xdr:colOff>
      <xdr:row>0</xdr:row>
      <xdr:rowOff>245160</xdr:rowOff>
    </xdr:to>
    <xdr:sp>
      <xdr:nvSpPr>
        <xdr:cNvPr id="127" name="Rectangle: Rounded Corners 29">
          <a:hlinkClick r:id="rId2"/>
        </xdr:cNvPr>
        <xdr:cNvSpPr/>
      </xdr:nvSpPr>
      <xdr:spPr>
        <a:xfrm>
          <a:off x="2192760" y="63360"/>
          <a:ext cx="203940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1</xdr:col>
      <xdr:colOff>772560</xdr:colOff>
      <xdr:row>0</xdr:row>
      <xdr:rowOff>324000</xdr:rowOff>
    </xdr:from>
    <xdr:to>
      <xdr:col>1</xdr:col>
      <xdr:colOff>2811960</xdr:colOff>
      <xdr:row>0</xdr:row>
      <xdr:rowOff>505800</xdr:rowOff>
    </xdr:to>
    <xdr:sp>
      <xdr:nvSpPr>
        <xdr:cNvPr id="128" name="Rectangle: Rounded Corners 30">
          <a:hlinkClick r:id="rId3"/>
        </xdr:cNvPr>
        <xdr:cNvSpPr/>
      </xdr:nvSpPr>
      <xdr:spPr>
        <a:xfrm>
          <a:off x="2195640" y="324000"/>
          <a:ext cx="2039400" cy="181800"/>
        </a:xfrm>
        <a:prstGeom prst="roundRect">
          <a:avLst>
            <a:gd name="adj" fmla="val 16667"/>
          </a:avLst>
        </a:prstGeom>
        <a:solidFill>
          <a:srgbClr val="4472c4"/>
        </a:solidFill>
        <a:ln w="0">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1"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1</xdr:col>
      <xdr:colOff>2848320</xdr:colOff>
      <xdr:row>0</xdr:row>
      <xdr:rowOff>63360</xdr:rowOff>
    </xdr:from>
    <xdr:to>
      <xdr:col>2</xdr:col>
      <xdr:colOff>231480</xdr:colOff>
      <xdr:row>0</xdr:row>
      <xdr:rowOff>245160</xdr:rowOff>
    </xdr:to>
    <xdr:sp>
      <xdr:nvSpPr>
        <xdr:cNvPr id="129" name="Rectangle: Rounded Corners 31">
          <a:hlinkClick r:id="rId4"/>
        </xdr:cNvPr>
        <xdr:cNvSpPr/>
      </xdr:nvSpPr>
      <xdr:spPr>
        <a:xfrm>
          <a:off x="4271400" y="63360"/>
          <a:ext cx="203940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1</xdr:col>
      <xdr:colOff>2853720</xdr:colOff>
      <xdr:row>0</xdr:row>
      <xdr:rowOff>324000</xdr:rowOff>
    </xdr:from>
    <xdr:to>
      <xdr:col>2</xdr:col>
      <xdr:colOff>236880</xdr:colOff>
      <xdr:row>0</xdr:row>
      <xdr:rowOff>505800</xdr:rowOff>
    </xdr:to>
    <xdr:sp>
      <xdr:nvSpPr>
        <xdr:cNvPr id="130" name="Rectangle: Rounded Corners 32">
          <a:hlinkClick r:id="rId5"/>
        </xdr:cNvPr>
        <xdr:cNvSpPr/>
      </xdr:nvSpPr>
      <xdr:spPr>
        <a:xfrm>
          <a:off x="4276800" y="324000"/>
          <a:ext cx="203940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5</xdr:col>
      <xdr:colOff>20880</xdr:colOff>
      <xdr:row>0</xdr:row>
      <xdr:rowOff>63360</xdr:rowOff>
    </xdr:from>
    <xdr:to>
      <xdr:col>7</xdr:col>
      <xdr:colOff>508320</xdr:colOff>
      <xdr:row>0</xdr:row>
      <xdr:rowOff>245160</xdr:rowOff>
    </xdr:to>
    <xdr:sp>
      <xdr:nvSpPr>
        <xdr:cNvPr id="131" name="Rectangle: Rounded Corners 33">
          <a:hlinkClick r:id="rId6"/>
        </xdr:cNvPr>
        <xdr:cNvSpPr/>
      </xdr:nvSpPr>
      <xdr:spPr>
        <a:xfrm>
          <a:off x="8426520" y="63360"/>
          <a:ext cx="203796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5</xdr:col>
      <xdr:colOff>31680</xdr:colOff>
      <xdr:row>0</xdr:row>
      <xdr:rowOff>324000</xdr:rowOff>
    </xdr:from>
    <xdr:to>
      <xdr:col>7</xdr:col>
      <xdr:colOff>519120</xdr:colOff>
      <xdr:row>0</xdr:row>
      <xdr:rowOff>505800</xdr:rowOff>
    </xdr:to>
    <xdr:sp>
      <xdr:nvSpPr>
        <xdr:cNvPr id="132" name="Rectangle: Rounded Corners 34">
          <a:hlinkClick r:id="rId7"/>
        </xdr:cNvPr>
        <xdr:cNvSpPr/>
      </xdr:nvSpPr>
      <xdr:spPr>
        <a:xfrm>
          <a:off x="8437320" y="324000"/>
          <a:ext cx="203796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2</xdr:col>
      <xdr:colOff>270360</xdr:colOff>
      <xdr:row>0</xdr:row>
      <xdr:rowOff>63360</xdr:rowOff>
    </xdr:from>
    <xdr:to>
      <xdr:col>4</xdr:col>
      <xdr:colOff>757800</xdr:colOff>
      <xdr:row>0</xdr:row>
      <xdr:rowOff>245160</xdr:rowOff>
    </xdr:to>
    <xdr:sp>
      <xdr:nvSpPr>
        <xdr:cNvPr id="133" name="Rectangle: Rounded Corners 35">
          <a:hlinkClick r:id="rId8"/>
        </xdr:cNvPr>
        <xdr:cNvSpPr/>
      </xdr:nvSpPr>
      <xdr:spPr>
        <a:xfrm>
          <a:off x="6349680" y="63360"/>
          <a:ext cx="20383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2</xdr:col>
      <xdr:colOff>278640</xdr:colOff>
      <xdr:row>0</xdr:row>
      <xdr:rowOff>324000</xdr:rowOff>
    </xdr:from>
    <xdr:to>
      <xdr:col>4</xdr:col>
      <xdr:colOff>766080</xdr:colOff>
      <xdr:row>0</xdr:row>
      <xdr:rowOff>505800</xdr:rowOff>
    </xdr:to>
    <xdr:sp>
      <xdr:nvSpPr>
        <xdr:cNvPr id="134" name="Rectangle: Rounded Corners 36">
          <a:hlinkClick r:id="rId9"/>
        </xdr:cNvPr>
        <xdr:cNvSpPr/>
      </xdr:nvSpPr>
      <xdr:spPr>
        <a:xfrm>
          <a:off x="6357960" y="324000"/>
          <a:ext cx="203832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1</xdr:col>
      <xdr:colOff>730800</xdr:colOff>
      <xdr:row>0</xdr:row>
      <xdr:rowOff>245160</xdr:rowOff>
    </xdr:to>
    <xdr:sp>
      <xdr:nvSpPr>
        <xdr:cNvPr id="135" name="Rectangle: Rounded Corners 37">
          <a:hlinkClick r:id="rId10"/>
        </xdr:cNvPr>
        <xdr:cNvSpPr/>
      </xdr:nvSpPr>
      <xdr:spPr>
        <a:xfrm>
          <a:off x="114480" y="63360"/>
          <a:ext cx="203940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7</xdr:col>
      <xdr:colOff>547560</xdr:colOff>
      <xdr:row>0</xdr:row>
      <xdr:rowOff>63360</xdr:rowOff>
    </xdr:from>
    <xdr:to>
      <xdr:col>10</xdr:col>
      <xdr:colOff>259200</xdr:colOff>
      <xdr:row>0</xdr:row>
      <xdr:rowOff>245160</xdr:rowOff>
    </xdr:to>
    <xdr:sp>
      <xdr:nvSpPr>
        <xdr:cNvPr id="136" name="Rectangle: Rounded Corners 38">
          <a:hlinkClick r:id="rId11"/>
        </xdr:cNvPr>
        <xdr:cNvSpPr/>
      </xdr:nvSpPr>
      <xdr:spPr>
        <a:xfrm>
          <a:off x="10503720" y="63360"/>
          <a:ext cx="203760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7</xdr:col>
      <xdr:colOff>560880</xdr:colOff>
      <xdr:row>0</xdr:row>
      <xdr:rowOff>324000</xdr:rowOff>
    </xdr:from>
    <xdr:to>
      <xdr:col>10</xdr:col>
      <xdr:colOff>272520</xdr:colOff>
      <xdr:row>0</xdr:row>
      <xdr:rowOff>505800</xdr:rowOff>
    </xdr:to>
    <xdr:sp>
      <xdr:nvSpPr>
        <xdr:cNvPr id="137" name="Rectangle: Rounded Corners 39">
          <a:hlinkClick r:id="rId12"/>
        </xdr:cNvPr>
        <xdr:cNvSpPr/>
      </xdr:nvSpPr>
      <xdr:spPr>
        <a:xfrm>
          <a:off x="10517040" y="324000"/>
          <a:ext cx="203760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10</xdr:col>
      <xdr:colOff>298080</xdr:colOff>
      <xdr:row>0</xdr:row>
      <xdr:rowOff>63360</xdr:rowOff>
    </xdr:from>
    <xdr:to>
      <xdr:col>13</xdr:col>
      <xdr:colOff>9360</xdr:colOff>
      <xdr:row>0</xdr:row>
      <xdr:rowOff>245160</xdr:rowOff>
    </xdr:to>
    <xdr:sp>
      <xdr:nvSpPr>
        <xdr:cNvPr id="138" name="Rectangle: Rounded Corners 40">
          <a:hlinkClick r:id="rId13"/>
        </xdr:cNvPr>
        <xdr:cNvSpPr/>
      </xdr:nvSpPr>
      <xdr:spPr>
        <a:xfrm>
          <a:off x="12580200" y="63360"/>
          <a:ext cx="203724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10</xdr:col>
      <xdr:colOff>314280</xdr:colOff>
      <xdr:row>0</xdr:row>
      <xdr:rowOff>324000</xdr:rowOff>
    </xdr:from>
    <xdr:to>
      <xdr:col>13</xdr:col>
      <xdr:colOff>25560</xdr:colOff>
      <xdr:row>0</xdr:row>
      <xdr:rowOff>505800</xdr:rowOff>
    </xdr:to>
    <xdr:sp>
      <xdr:nvSpPr>
        <xdr:cNvPr id="139" name="Rectangle: Rounded Corners 41">
          <a:hlinkClick r:id="rId14"/>
        </xdr:cNvPr>
        <xdr:cNvSpPr/>
      </xdr:nvSpPr>
      <xdr:spPr>
        <a:xfrm>
          <a:off x="12596400" y="324000"/>
          <a:ext cx="203724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drawings/drawing10.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0</xdr:col>
      <xdr:colOff>1964160</xdr:colOff>
      <xdr:row>0</xdr:row>
      <xdr:rowOff>505800</xdr:rowOff>
    </xdr:to>
    <xdr:sp>
      <xdr:nvSpPr>
        <xdr:cNvPr id="140" name="Rectangle: Rounded Corners 28">
          <a:hlinkClick r:id="rId1"/>
        </xdr:cNvPr>
        <xdr:cNvSpPr/>
      </xdr:nvSpPr>
      <xdr:spPr>
        <a:xfrm>
          <a:off x="114480" y="324000"/>
          <a:ext cx="18496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0</xdr:col>
      <xdr:colOff>1999440</xdr:colOff>
      <xdr:row>0</xdr:row>
      <xdr:rowOff>63360</xdr:rowOff>
    </xdr:from>
    <xdr:to>
      <xdr:col>0</xdr:col>
      <xdr:colOff>3849120</xdr:colOff>
      <xdr:row>0</xdr:row>
      <xdr:rowOff>245160</xdr:rowOff>
    </xdr:to>
    <xdr:sp>
      <xdr:nvSpPr>
        <xdr:cNvPr id="141" name="Rectangle: Rounded Corners 29">
          <a:hlinkClick r:id="rId2"/>
        </xdr:cNvPr>
        <xdr:cNvSpPr/>
      </xdr:nvSpPr>
      <xdr:spPr>
        <a:xfrm>
          <a:off x="1999440" y="63360"/>
          <a:ext cx="18496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0</xdr:col>
      <xdr:colOff>2001960</xdr:colOff>
      <xdr:row>0</xdr:row>
      <xdr:rowOff>324000</xdr:rowOff>
    </xdr:from>
    <xdr:to>
      <xdr:col>0</xdr:col>
      <xdr:colOff>3851640</xdr:colOff>
      <xdr:row>0</xdr:row>
      <xdr:rowOff>505800</xdr:rowOff>
    </xdr:to>
    <xdr:sp>
      <xdr:nvSpPr>
        <xdr:cNvPr id="142" name="Rectangle: Rounded Corners 30">
          <a:hlinkClick r:id="rId3"/>
        </xdr:cNvPr>
        <xdr:cNvSpPr/>
      </xdr:nvSpPr>
      <xdr:spPr>
        <a:xfrm>
          <a:off x="2001960" y="324000"/>
          <a:ext cx="18496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0</xdr:col>
      <xdr:colOff>3884760</xdr:colOff>
      <xdr:row>0</xdr:row>
      <xdr:rowOff>63360</xdr:rowOff>
    </xdr:from>
    <xdr:to>
      <xdr:col>1</xdr:col>
      <xdr:colOff>1077840</xdr:colOff>
      <xdr:row>0</xdr:row>
      <xdr:rowOff>245160</xdr:rowOff>
    </xdr:to>
    <xdr:sp>
      <xdr:nvSpPr>
        <xdr:cNvPr id="143" name="Rectangle: Rounded Corners 31">
          <a:hlinkClick r:id="rId4"/>
        </xdr:cNvPr>
        <xdr:cNvSpPr/>
      </xdr:nvSpPr>
      <xdr:spPr>
        <a:xfrm>
          <a:off x="3884760" y="63360"/>
          <a:ext cx="18496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0</xdr:col>
      <xdr:colOff>3889800</xdr:colOff>
      <xdr:row>0</xdr:row>
      <xdr:rowOff>324000</xdr:rowOff>
    </xdr:from>
    <xdr:to>
      <xdr:col>1</xdr:col>
      <xdr:colOff>1082880</xdr:colOff>
      <xdr:row>0</xdr:row>
      <xdr:rowOff>505800</xdr:rowOff>
    </xdr:to>
    <xdr:sp>
      <xdr:nvSpPr>
        <xdr:cNvPr id="144" name="Rectangle: Rounded Corners 32">
          <a:hlinkClick r:id="rId5"/>
        </xdr:cNvPr>
        <xdr:cNvSpPr/>
      </xdr:nvSpPr>
      <xdr:spPr>
        <a:xfrm>
          <a:off x="3889800" y="324000"/>
          <a:ext cx="1849680" cy="181800"/>
        </a:xfrm>
        <a:prstGeom prst="roundRect">
          <a:avLst>
            <a:gd name="adj" fmla="val 16667"/>
          </a:avLst>
        </a:prstGeom>
        <a:solidFill>
          <a:srgbClr val="4472c4"/>
        </a:solidFill>
        <a:ln w="0">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1"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1</xdr:col>
      <xdr:colOff>2998800</xdr:colOff>
      <xdr:row>0</xdr:row>
      <xdr:rowOff>63360</xdr:rowOff>
    </xdr:from>
    <xdr:to>
      <xdr:col>2</xdr:col>
      <xdr:colOff>1187280</xdr:colOff>
      <xdr:row>0</xdr:row>
      <xdr:rowOff>245160</xdr:rowOff>
    </xdr:to>
    <xdr:sp>
      <xdr:nvSpPr>
        <xdr:cNvPr id="145" name="Rectangle: Rounded Corners 33">
          <a:hlinkClick r:id="rId6"/>
        </xdr:cNvPr>
        <xdr:cNvSpPr/>
      </xdr:nvSpPr>
      <xdr:spPr>
        <a:xfrm>
          <a:off x="7655400" y="63360"/>
          <a:ext cx="18496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1</xdr:col>
      <xdr:colOff>3008520</xdr:colOff>
      <xdr:row>0</xdr:row>
      <xdr:rowOff>324000</xdr:rowOff>
    </xdr:from>
    <xdr:to>
      <xdr:col>2</xdr:col>
      <xdr:colOff>1197000</xdr:colOff>
      <xdr:row>0</xdr:row>
      <xdr:rowOff>505800</xdr:rowOff>
    </xdr:to>
    <xdr:sp>
      <xdr:nvSpPr>
        <xdr:cNvPr id="146" name="Rectangle: Rounded Corners 34">
          <a:hlinkClick r:id="rId7"/>
        </xdr:cNvPr>
        <xdr:cNvSpPr/>
      </xdr:nvSpPr>
      <xdr:spPr>
        <a:xfrm>
          <a:off x="7665120" y="324000"/>
          <a:ext cx="18496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1</xdr:col>
      <xdr:colOff>1113480</xdr:colOff>
      <xdr:row>0</xdr:row>
      <xdr:rowOff>63360</xdr:rowOff>
    </xdr:from>
    <xdr:to>
      <xdr:col>1</xdr:col>
      <xdr:colOff>2963160</xdr:colOff>
      <xdr:row>0</xdr:row>
      <xdr:rowOff>245160</xdr:rowOff>
    </xdr:to>
    <xdr:sp>
      <xdr:nvSpPr>
        <xdr:cNvPr id="147" name="Rectangle: Rounded Corners 35">
          <a:hlinkClick r:id="rId8"/>
        </xdr:cNvPr>
        <xdr:cNvSpPr/>
      </xdr:nvSpPr>
      <xdr:spPr>
        <a:xfrm>
          <a:off x="5770080" y="63360"/>
          <a:ext cx="18496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1</xdr:col>
      <xdr:colOff>1120680</xdr:colOff>
      <xdr:row>0</xdr:row>
      <xdr:rowOff>324000</xdr:rowOff>
    </xdr:from>
    <xdr:to>
      <xdr:col>1</xdr:col>
      <xdr:colOff>2970360</xdr:colOff>
      <xdr:row>0</xdr:row>
      <xdr:rowOff>505800</xdr:rowOff>
    </xdr:to>
    <xdr:sp>
      <xdr:nvSpPr>
        <xdr:cNvPr id="148" name="Rectangle: Rounded Corners 36">
          <a:hlinkClick r:id="rId9"/>
        </xdr:cNvPr>
        <xdr:cNvSpPr/>
      </xdr:nvSpPr>
      <xdr:spPr>
        <a:xfrm>
          <a:off x="5777280" y="324000"/>
          <a:ext cx="18496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0</xdr:col>
      <xdr:colOff>1964160</xdr:colOff>
      <xdr:row>0</xdr:row>
      <xdr:rowOff>245160</xdr:rowOff>
    </xdr:to>
    <xdr:sp>
      <xdr:nvSpPr>
        <xdr:cNvPr id="149" name="Rectangle: Rounded Corners 37">
          <a:hlinkClick r:id="rId10"/>
        </xdr:cNvPr>
        <xdr:cNvSpPr/>
      </xdr:nvSpPr>
      <xdr:spPr>
        <a:xfrm>
          <a:off x="114480" y="63360"/>
          <a:ext cx="18496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2</xdr:col>
      <xdr:colOff>1222560</xdr:colOff>
      <xdr:row>0</xdr:row>
      <xdr:rowOff>63360</xdr:rowOff>
    </xdr:from>
    <xdr:to>
      <xdr:col>2</xdr:col>
      <xdr:colOff>3072240</xdr:colOff>
      <xdr:row>0</xdr:row>
      <xdr:rowOff>245160</xdr:rowOff>
    </xdr:to>
    <xdr:sp>
      <xdr:nvSpPr>
        <xdr:cNvPr id="150" name="Rectangle: Rounded Corners 38">
          <a:hlinkClick r:id="rId11"/>
        </xdr:cNvPr>
        <xdr:cNvSpPr/>
      </xdr:nvSpPr>
      <xdr:spPr>
        <a:xfrm>
          <a:off x="9540360" y="63360"/>
          <a:ext cx="18496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2</xdr:col>
      <xdr:colOff>1234800</xdr:colOff>
      <xdr:row>0</xdr:row>
      <xdr:rowOff>324000</xdr:rowOff>
    </xdr:from>
    <xdr:to>
      <xdr:col>2</xdr:col>
      <xdr:colOff>3084480</xdr:colOff>
      <xdr:row>0</xdr:row>
      <xdr:rowOff>505800</xdr:rowOff>
    </xdr:to>
    <xdr:sp>
      <xdr:nvSpPr>
        <xdr:cNvPr id="151" name="Rectangle: Rounded Corners 39">
          <a:hlinkClick r:id="rId12"/>
        </xdr:cNvPr>
        <xdr:cNvSpPr/>
      </xdr:nvSpPr>
      <xdr:spPr>
        <a:xfrm>
          <a:off x="9552600" y="324000"/>
          <a:ext cx="18496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2</xdr:col>
      <xdr:colOff>3107880</xdr:colOff>
      <xdr:row>0</xdr:row>
      <xdr:rowOff>63360</xdr:rowOff>
    </xdr:from>
    <xdr:to>
      <xdr:col>2</xdr:col>
      <xdr:colOff>4957560</xdr:colOff>
      <xdr:row>0</xdr:row>
      <xdr:rowOff>245160</xdr:rowOff>
    </xdr:to>
    <xdr:sp>
      <xdr:nvSpPr>
        <xdr:cNvPr id="152" name="Rectangle: Rounded Corners 40">
          <a:hlinkClick r:id="rId13"/>
        </xdr:cNvPr>
        <xdr:cNvSpPr/>
      </xdr:nvSpPr>
      <xdr:spPr>
        <a:xfrm>
          <a:off x="11425680" y="63360"/>
          <a:ext cx="18496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2</xdr:col>
      <xdr:colOff>3122640</xdr:colOff>
      <xdr:row>0</xdr:row>
      <xdr:rowOff>324000</xdr:rowOff>
    </xdr:from>
    <xdr:to>
      <xdr:col>2</xdr:col>
      <xdr:colOff>4972320</xdr:colOff>
      <xdr:row>0</xdr:row>
      <xdr:rowOff>505800</xdr:rowOff>
    </xdr:to>
    <xdr:sp>
      <xdr:nvSpPr>
        <xdr:cNvPr id="153" name="Rectangle: Rounded Corners 41">
          <a:hlinkClick r:id="rId14"/>
        </xdr:cNvPr>
        <xdr:cNvSpPr/>
      </xdr:nvSpPr>
      <xdr:spPr>
        <a:xfrm>
          <a:off x="11440440" y="324000"/>
          <a:ext cx="18496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drawings/drawing11.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0</xdr:col>
      <xdr:colOff>2152800</xdr:colOff>
      <xdr:row>0</xdr:row>
      <xdr:rowOff>505800</xdr:rowOff>
    </xdr:to>
    <xdr:sp>
      <xdr:nvSpPr>
        <xdr:cNvPr id="154" name="Rectangle: Rounded Corners 12">
          <a:hlinkClick r:id="rId1"/>
        </xdr:cNvPr>
        <xdr:cNvSpPr/>
      </xdr:nvSpPr>
      <xdr:spPr>
        <a:xfrm>
          <a:off x="114480" y="324000"/>
          <a:ext cx="20383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0</xdr:col>
      <xdr:colOff>2191680</xdr:colOff>
      <xdr:row>0</xdr:row>
      <xdr:rowOff>63360</xdr:rowOff>
    </xdr:from>
    <xdr:to>
      <xdr:col>1</xdr:col>
      <xdr:colOff>1942560</xdr:colOff>
      <xdr:row>0</xdr:row>
      <xdr:rowOff>245160</xdr:rowOff>
    </xdr:to>
    <xdr:sp>
      <xdr:nvSpPr>
        <xdr:cNvPr id="155" name="Rectangle: Rounded Corners 13">
          <a:hlinkClick r:id="rId2"/>
        </xdr:cNvPr>
        <xdr:cNvSpPr/>
      </xdr:nvSpPr>
      <xdr:spPr>
        <a:xfrm>
          <a:off x="2191680" y="63360"/>
          <a:ext cx="20383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0</xdr:col>
      <xdr:colOff>2194200</xdr:colOff>
      <xdr:row>0</xdr:row>
      <xdr:rowOff>324000</xdr:rowOff>
    </xdr:from>
    <xdr:to>
      <xdr:col>1</xdr:col>
      <xdr:colOff>1945080</xdr:colOff>
      <xdr:row>0</xdr:row>
      <xdr:rowOff>505800</xdr:rowOff>
    </xdr:to>
    <xdr:sp>
      <xdr:nvSpPr>
        <xdr:cNvPr id="156" name="Rectangle: Rounded Corners 14">
          <a:hlinkClick r:id="rId3"/>
        </xdr:cNvPr>
        <xdr:cNvSpPr/>
      </xdr:nvSpPr>
      <xdr:spPr>
        <a:xfrm>
          <a:off x="2194200" y="324000"/>
          <a:ext cx="20383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1</xdr:col>
      <xdr:colOff>1981440</xdr:colOff>
      <xdr:row>0</xdr:row>
      <xdr:rowOff>63360</xdr:rowOff>
    </xdr:from>
    <xdr:to>
      <xdr:col>2</xdr:col>
      <xdr:colOff>261360</xdr:colOff>
      <xdr:row>0</xdr:row>
      <xdr:rowOff>245160</xdr:rowOff>
    </xdr:to>
    <xdr:sp>
      <xdr:nvSpPr>
        <xdr:cNvPr id="157" name="Rectangle: Rounded Corners 15">
          <a:hlinkClick r:id="rId4"/>
        </xdr:cNvPr>
        <xdr:cNvSpPr/>
      </xdr:nvSpPr>
      <xdr:spPr>
        <a:xfrm>
          <a:off x="4268880" y="63360"/>
          <a:ext cx="20383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1</xdr:col>
      <xdr:colOff>1986840</xdr:colOff>
      <xdr:row>0</xdr:row>
      <xdr:rowOff>324000</xdr:rowOff>
    </xdr:from>
    <xdr:to>
      <xdr:col>2</xdr:col>
      <xdr:colOff>266760</xdr:colOff>
      <xdr:row>0</xdr:row>
      <xdr:rowOff>505800</xdr:rowOff>
    </xdr:to>
    <xdr:sp>
      <xdr:nvSpPr>
        <xdr:cNvPr id="158" name="Rectangle: Rounded Corners 16">
          <a:hlinkClick r:id="rId5"/>
        </xdr:cNvPr>
        <xdr:cNvSpPr/>
      </xdr:nvSpPr>
      <xdr:spPr>
        <a:xfrm>
          <a:off x="4274280" y="324000"/>
          <a:ext cx="20383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5</xdr:col>
      <xdr:colOff>50040</xdr:colOff>
      <xdr:row>0</xdr:row>
      <xdr:rowOff>63360</xdr:rowOff>
    </xdr:from>
    <xdr:to>
      <xdr:col>7</xdr:col>
      <xdr:colOff>536400</xdr:colOff>
      <xdr:row>0</xdr:row>
      <xdr:rowOff>245160</xdr:rowOff>
    </xdr:to>
    <xdr:sp>
      <xdr:nvSpPr>
        <xdr:cNvPr id="159" name="Rectangle: Rounded Corners 17">
          <a:hlinkClick r:id="rId6"/>
        </xdr:cNvPr>
        <xdr:cNvSpPr/>
      </xdr:nvSpPr>
      <xdr:spPr>
        <a:xfrm>
          <a:off x="8421840" y="63360"/>
          <a:ext cx="203724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5</xdr:col>
      <xdr:colOff>60840</xdr:colOff>
      <xdr:row>0</xdr:row>
      <xdr:rowOff>324000</xdr:rowOff>
    </xdr:from>
    <xdr:to>
      <xdr:col>7</xdr:col>
      <xdr:colOff>547200</xdr:colOff>
      <xdr:row>0</xdr:row>
      <xdr:rowOff>505800</xdr:rowOff>
    </xdr:to>
    <xdr:sp>
      <xdr:nvSpPr>
        <xdr:cNvPr id="160" name="Rectangle: Rounded Corners 18">
          <a:hlinkClick r:id="rId7"/>
        </xdr:cNvPr>
        <xdr:cNvSpPr/>
      </xdr:nvSpPr>
      <xdr:spPr>
        <a:xfrm>
          <a:off x="8432640" y="324000"/>
          <a:ext cx="203724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2</xdr:col>
      <xdr:colOff>300240</xdr:colOff>
      <xdr:row>0</xdr:row>
      <xdr:rowOff>63360</xdr:rowOff>
    </xdr:from>
    <xdr:to>
      <xdr:col>5</xdr:col>
      <xdr:colOff>10800</xdr:colOff>
      <xdr:row>0</xdr:row>
      <xdr:rowOff>245160</xdr:rowOff>
    </xdr:to>
    <xdr:sp>
      <xdr:nvSpPr>
        <xdr:cNvPr id="161" name="Rectangle: Rounded Corners 19">
          <a:hlinkClick r:id="rId8"/>
        </xdr:cNvPr>
        <xdr:cNvSpPr/>
      </xdr:nvSpPr>
      <xdr:spPr>
        <a:xfrm>
          <a:off x="6346080" y="63360"/>
          <a:ext cx="20365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2</xdr:col>
      <xdr:colOff>308520</xdr:colOff>
      <xdr:row>0</xdr:row>
      <xdr:rowOff>324000</xdr:rowOff>
    </xdr:from>
    <xdr:to>
      <xdr:col>5</xdr:col>
      <xdr:colOff>19080</xdr:colOff>
      <xdr:row>0</xdr:row>
      <xdr:rowOff>505800</xdr:rowOff>
    </xdr:to>
    <xdr:sp>
      <xdr:nvSpPr>
        <xdr:cNvPr id="162" name="Rectangle: Rounded Corners 20">
          <a:hlinkClick r:id="rId9"/>
        </xdr:cNvPr>
        <xdr:cNvSpPr/>
      </xdr:nvSpPr>
      <xdr:spPr>
        <a:xfrm>
          <a:off x="6354360" y="324000"/>
          <a:ext cx="2036520" cy="181800"/>
        </a:xfrm>
        <a:prstGeom prst="roundRect">
          <a:avLst>
            <a:gd name="adj" fmla="val 16667"/>
          </a:avLst>
        </a:prstGeom>
        <a:solidFill>
          <a:srgbClr val="4472c4"/>
        </a:solidFill>
        <a:ln w="0">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1"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0</xdr:col>
      <xdr:colOff>2152800</xdr:colOff>
      <xdr:row>0</xdr:row>
      <xdr:rowOff>245160</xdr:rowOff>
    </xdr:to>
    <xdr:sp>
      <xdr:nvSpPr>
        <xdr:cNvPr id="163" name="Rectangle: Rounded Corners 21">
          <a:hlinkClick r:id="rId10"/>
        </xdr:cNvPr>
        <xdr:cNvSpPr/>
      </xdr:nvSpPr>
      <xdr:spPr>
        <a:xfrm>
          <a:off x="114480" y="63360"/>
          <a:ext cx="20383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7</xdr:col>
      <xdr:colOff>575280</xdr:colOff>
      <xdr:row>0</xdr:row>
      <xdr:rowOff>63360</xdr:rowOff>
    </xdr:from>
    <xdr:to>
      <xdr:col>10</xdr:col>
      <xdr:colOff>285480</xdr:colOff>
      <xdr:row>0</xdr:row>
      <xdr:rowOff>245160</xdr:rowOff>
    </xdr:to>
    <xdr:sp>
      <xdr:nvSpPr>
        <xdr:cNvPr id="164" name="Rectangle: Rounded Corners 22">
          <a:hlinkClick r:id="rId11"/>
        </xdr:cNvPr>
        <xdr:cNvSpPr/>
      </xdr:nvSpPr>
      <xdr:spPr>
        <a:xfrm>
          <a:off x="10497960" y="63360"/>
          <a:ext cx="203616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7</xdr:col>
      <xdr:colOff>588600</xdr:colOff>
      <xdr:row>0</xdr:row>
      <xdr:rowOff>324000</xdr:rowOff>
    </xdr:from>
    <xdr:to>
      <xdr:col>10</xdr:col>
      <xdr:colOff>298800</xdr:colOff>
      <xdr:row>0</xdr:row>
      <xdr:rowOff>505800</xdr:rowOff>
    </xdr:to>
    <xdr:sp>
      <xdr:nvSpPr>
        <xdr:cNvPr id="165" name="Rectangle: Rounded Corners 23">
          <a:hlinkClick r:id="rId12"/>
        </xdr:cNvPr>
        <xdr:cNvSpPr/>
      </xdr:nvSpPr>
      <xdr:spPr>
        <a:xfrm>
          <a:off x="10511280" y="324000"/>
          <a:ext cx="203616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10</xdr:col>
      <xdr:colOff>324360</xdr:colOff>
      <xdr:row>0</xdr:row>
      <xdr:rowOff>63360</xdr:rowOff>
    </xdr:from>
    <xdr:to>
      <xdr:col>13</xdr:col>
      <xdr:colOff>34920</xdr:colOff>
      <xdr:row>0</xdr:row>
      <xdr:rowOff>245160</xdr:rowOff>
    </xdr:to>
    <xdr:sp>
      <xdr:nvSpPr>
        <xdr:cNvPr id="166" name="Rectangle: Rounded Corners 24">
          <a:hlinkClick r:id="rId13"/>
        </xdr:cNvPr>
        <xdr:cNvSpPr/>
      </xdr:nvSpPr>
      <xdr:spPr>
        <a:xfrm>
          <a:off x="12573000" y="63360"/>
          <a:ext cx="20365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10</xdr:col>
      <xdr:colOff>340560</xdr:colOff>
      <xdr:row>0</xdr:row>
      <xdr:rowOff>324000</xdr:rowOff>
    </xdr:from>
    <xdr:to>
      <xdr:col>13</xdr:col>
      <xdr:colOff>51120</xdr:colOff>
      <xdr:row>0</xdr:row>
      <xdr:rowOff>505800</xdr:rowOff>
    </xdr:to>
    <xdr:sp>
      <xdr:nvSpPr>
        <xdr:cNvPr id="167" name="Rectangle: Rounded Corners 25">
          <a:hlinkClick r:id="rId14"/>
        </xdr:cNvPr>
        <xdr:cNvSpPr/>
      </xdr:nvSpPr>
      <xdr:spPr>
        <a:xfrm>
          <a:off x="12589200" y="324000"/>
          <a:ext cx="203652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drawings/drawing12.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2</xdr:col>
      <xdr:colOff>561960</xdr:colOff>
      <xdr:row>0</xdr:row>
      <xdr:rowOff>505800</xdr:rowOff>
    </xdr:to>
    <xdr:sp>
      <xdr:nvSpPr>
        <xdr:cNvPr id="168" name="Rectangle: Rounded Corners 13">
          <a:hlinkClick r:id="rId1"/>
        </xdr:cNvPr>
        <xdr:cNvSpPr/>
      </xdr:nvSpPr>
      <xdr:spPr>
        <a:xfrm>
          <a:off x="114480" y="324000"/>
          <a:ext cx="199800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2</xdr:col>
      <xdr:colOff>600120</xdr:colOff>
      <xdr:row>0</xdr:row>
      <xdr:rowOff>63360</xdr:rowOff>
    </xdr:from>
    <xdr:to>
      <xdr:col>4</xdr:col>
      <xdr:colOff>150840</xdr:colOff>
      <xdr:row>0</xdr:row>
      <xdr:rowOff>245160</xdr:rowOff>
    </xdr:to>
    <xdr:sp>
      <xdr:nvSpPr>
        <xdr:cNvPr id="169" name="Rectangle: Rounded Corners 14">
          <a:hlinkClick r:id="rId2"/>
        </xdr:cNvPr>
        <xdr:cNvSpPr/>
      </xdr:nvSpPr>
      <xdr:spPr>
        <a:xfrm>
          <a:off x="2150640" y="63360"/>
          <a:ext cx="19987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2</xdr:col>
      <xdr:colOff>603000</xdr:colOff>
      <xdr:row>0</xdr:row>
      <xdr:rowOff>324000</xdr:rowOff>
    </xdr:from>
    <xdr:to>
      <xdr:col>4</xdr:col>
      <xdr:colOff>153720</xdr:colOff>
      <xdr:row>0</xdr:row>
      <xdr:rowOff>505800</xdr:rowOff>
    </xdr:to>
    <xdr:sp>
      <xdr:nvSpPr>
        <xdr:cNvPr id="170" name="Rectangle: Rounded Corners 15">
          <a:hlinkClick r:id="rId3"/>
        </xdr:cNvPr>
        <xdr:cNvSpPr/>
      </xdr:nvSpPr>
      <xdr:spPr>
        <a:xfrm>
          <a:off x="2153520" y="324000"/>
          <a:ext cx="19987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4</xdr:col>
      <xdr:colOff>189360</xdr:colOff>
      <xdr:row>0</xdr:row>
      <xdr:rowOff>63360</xdr:rowOff>
    </xdr:from>
    <xdr:to>
      <xdr:col>5</xdr:col>
      <xdr:colOff>79560</xdr:colOff>
      <xdr:row>0</xdr:row>
      <xdr:rowOff>245160</xdr:rowOff>
    </xdr:to>
    <xdr:sp>
      <xdr:nvSpPr>
        <xdr:cNvPr id="171" name="Rectangle: Rounded Corners 16">
          <a:hlinkClick r:id="rId4"/>
        </xdr:cNvPr>
        <xdr:cNvSpPr/>
      </xdr:nvSpPr>
      <xdr:spPr>
        <a:xfrm>
          <a:off x="4187880" y="63360"/>
          <a:ext cx="199980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4</xdr:col>
      <xdr:colOff>194760</xdr:colOff>
      <xdr:row>0</xdr:row>
      <xdr:rowOff>324000</xdr:rowOff>
    </xdr:from>
    <xdr:to>
      <xdr:col>5</xdr:col>
      <xdr:colOff>84960</xdr:colOff>
      <xdr:row>0</xdr:row>
      <xdr:rowOff>505800</xdr:rowOff>
    </xdr:to>
    <xdr:sp>
      <xdr:nvSpPr>
        <xdr:cNvPr id="172" name="Rectangle: Rounded Corners 17">
          <a:hlinkClick r:id="rId5"/>
        </xdr:cNvPr>
        <xdr:cNvSpPr/>
      </xdr:nvSpPr>
      <xdr:spPr>
        <a:xfrm>
          <a:off x="4193280" y="324000"/>
          <a:ext cx="199980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6</xdr:col>
      <xdr:colOff>38160</xdr:colOff>
      <xdr:row>0</xdr:row>
      <xdr:rowOff>63360</xdr:rowOff>
    </xdr:from>
    <xdr:to>
      <xdr:col>7</xdr:col>
      <xdr:colOff>906120</xdr:colOff>
      <xdr:row>0</xdr:row>
      <xdr:rowOff>245160</xdr:rowOff>
    </xdr:to>
    <xdr:sp>
      <xdr:nvSpPr>
        <xdr:cNvPr id="173" name="Rectangle: Rounded Corners 18">
          <a:hlinkClick r:id="rId6"/>
        </xdr:cNvPr>
        <xdr:cNvSpPr/>
      </xdr:nvSpPr>
      <xdr:spPr>
        <a:xfrm>
          <a:off x="8264520" y="63360"/>
          <a:ext cx="19990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6</xdr:col>
      <xdr:colOff>48960</xdr:colOff>
      <xdr:row>0</xdr:row>
      <xdr:rowOff>324000</xdr:rowOff>
    </xdr:from>
    <xdr:to>
      <xdr:col>7</xdr:col>
      <xdr:colOff>916920</xdr:colOff>
      <xdr:row>0</xdr:row>
      <xdr:rowOff>505800</xdr:rowOff>
    </xdr:to>
    <xdr:sp>
      <xdr:nvSpPr>
        <xdr:cNvPr id="174" name="Rectangle: Rounded Corners 19">
          <a:hlinkClick r:id="rId7"/>
        </xdr:cNvPr>
        <xdr:cNvSpPr/>
      </xdr:nvSpPr>
      <xdr:spPr>
        <a:xfrm>
          <a:off x="8275320" y="324000"/>
          <a:ext cx="1999080" cy="181800"/>
        </a:xfrm>
        <a:prstGeom prst="roundRect">
          <a:avLst>
            <a:gd name="adj" fmla="val 16667"/>
          </a:avLst>
        </a:prstGeom>
        <a:solidFill>
          <a:srgbClr val="4472c4"/>
        </a:solidFill>
        <a:ln w="0">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1"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5</xdr:col>
      <xdr:colOff>118080</xdr:colOff>
      <xdr:row>0</xdr:row>
      <xdr:rowOff>63360</xdr:rowOff>
    </xdr:from>
    <xdr:to>
      <xdr:col>5</xdr:col>
      <xdr:colOff>2118240</xdr:colOff>
      <xdr:row>0</xdr:row>
      <xdr:rowOff>245160</xdr:rowOff>
    </xdr:to>
    <xdr:sp>
      <xdr:nvSpPr>
        <xdr:cNvPr id="175" name="Rectangle: Rounded Corners 20">
          <a:hlinkClick r:id="rId8"/>
        </xdr:cNvPr>
        <xdr:cNvSpPr/>
      </xdr:nvSpPr>
      <xdr:spPr>
        <a:xfrm>
          <a:off x="6226200" y="63360"/>
          <a:ext cx="200016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5</xdr:col>
      <xdr:colOff>126000</xdr:colOff>
      <xdr:row>0</xdr:row>
      <xdr:rowOff>324000</xdr:rowOff>
    </xdr:from>
    <xdr:to>
      <xdr:col>6</xdr:col>
      <xdr:colOff>7560</xdr:colOff>
      <xdr:row>0</xdr:row>
      <xdr:rowOff>505800</xdr:rowOff>
    </xdr:to>
    <xdr:sp>
      <xdr:nvSpPr>
        <xdr:cNvPr id="176" name="Rectangle: Rounded Corners 21">
          <a:hlinkClick r:id="rId9"/>
        </xdr:cNvPr>
        <xdr:cNvSpPr/>
      </xdr:nvSpPr>
      <xdr:spPr>
        <a:xfrm>
          <a:off x="6234120" y="324000"/>
          <a:ext cx="199980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2</xdr:col>
      <xdr:colOff>561960</xdr:colOff>
      <xdr:row>0</xdr:row>
      <xdr:rowOff>245160</xdr:rowOff>
    </xdr:to>
    <xdr:sp>
      <xdr:nvSpPr>
        <xdr:cNvPr id="177" name="Rectangle: Rounded Corners 22">
          <a:hlinkClick r:id="rId10"/>
        </xdr:cNvPr>
        <xdr:cNvSpPr/>
      </xdr:nvSpPr>
      <xdr:spPr>
        <a:xfrm>
          <a:off x="114480" y="63360"/>
          <a:ext cx="199800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7</xdr:col>
      <xdr:colOff>944640</xdr:colOff>
      <xdr:row>0</xdr:row>
      <xdr:rowOff>63360</xdr:rowOff>
    </xdr:from>
    <xdr:to>
      <xdr:col>9</xdr:col>
      <xdr:colOff>342000</xdr:colOff>
      <xdr:row>0</xdr:row>
      <xdr:rowOff>245160</xdr:rowOff>
    </xdr:to>
    <xdr:sp>
      <xdr:nvSpPr>
        <xdr:cNvPr id="178" name="Rectangle: Rounded Corners 23">
          <a:hlinkClick r:id="rId11"/>
        </xdr:cNvPr>
        <xdr:cNvSpPr/>
      </xdr:nvSpPr>
      <xdr:spPr>
        <a:xfrm>
          <a:off x="10302120" y="63360"/>
          <a:ext cx="19987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7</xdr:col>
      <xdr:colOff>957960</xdr:colOff>
      <xdr:row>0</xdr:row>
      <xdr:rowOff>324000</xdr:rowOff>
    </xdr:from>
    <xdr:to>
      <xdr:col>9</xdr:col>
      <xdr:colOff>355320</xdr:colOff>
      <xdr:row>0</xdr:row>
      <xdr:rowOff>505800</xdr:rowOff>
    </xdr:to>
    <xdr:sp>
      <xdr:nvSpPr>
        <xdr:cNvPr id="179" name="Rectangle: Rounded Corners 24">
          <a:hlinkClick r:id="rId12"/>
        </xdr:cNvPr>
        <xdr:cNvSpPr/>
      </xdr:nvSpPr>
      <xdr:spPr>
        <a:xfrm>
          <a:off x="10315440" y="324000"/>
          <a:ext cx="199872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9</xdr:col>
      <xdr:colOff>380520</xdr:colOff>
      <xdr:row>0</xdr:row>
      <xdr:rowOff>63360</xdr:rowOff>
    </xdr:from>
    <xdr:to>
      <xdr:col>10</xdr:col>
      <xdr:colOff>1038240</xdr:colOff>
      <xdr:row>0</xdr:row>
      <xdr:rowOff>245160</xdr:rowOff>
    </xdr:to>
    <xdr:sp>
      <xdr:nvSpPr>
        <xdr:cNvPr id="180" name="Rectangle: Rounded Corners 25">
          <a:hlinkClick r:id="rId13"/>
        </xdr:cNvPr>
        <xdr:cNvSpPr/>
      </xdr:nvSpPr>
      <xdr:spPr>
        <a:xfrm>
          <a:off x="12339360" y="63360"/>
          <a:ext cx="199944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9</xdr:col>
      <xdr:colOff>396360</xdr:colOff>
      <xdr:row>0</xdr:row>
      <xdr:rowOff>324000</xdr:rowOff>
    </xdr:from>
    <xdr:to>
      <xdr:col>10</xdr:col>
      <xdr:colOff>1054080</xdr:colOff>
      <xdr:row>0</xdr:row>
      <xdr:rowOff>505800</xdr:rowOff>
    </xdr:to>
    <xdr:sp>
      <xdr:nvSpPr>
        <xdr:cNvPr id="181" name="Rectangle: Rounded Corners 26">
          <a:hlinkClick r:id="rId14"/>
        </xdr:cNvPr>
        <xdr:cNvSpPr/>
      </xdr:nvSpPr>
      <xdr:spPr>
        <a:xfrm>
          <a:off x="12355200" y="324000"/>
          <a:ext cx="199944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drawings/drawing13.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1</xdr:col>
      <xdr:colOff>1079640</xdr:colOff>
      <xdr:row>0</xdr:row>
      <xdr:rowOff>505800</xdr:rowOff>
    </xdr:to>
    <xdr:sp>
      <xdr:nvSpPr>
        <xdr:cNvPr id="182" name="Rectangle: Rounded Corners 13">
          <a:hlinkClick r:id="rId1"/>
        </xdr:cNvPr>
        <xdr:cNvSpPr/>
      </xdr:nvSpPr>
      <xdr:spPr>
        <a:xfrm>
          <a:off x="114480" y="324000"/>
          <a:ext cx="200736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1</xdr:col>
      <xdr:colOff>1118160</xdr:colOff>
      <xdr:row>0</xdr:row>
      <xdr:rowOff>63360</xdr:rowOff>
    </xdr:from>
    <xdr:to>
      <xdr:col>3</xdr:col>
      <xdr:colOff>959760</xdr:colOff>
      <xdr:row>0</xdr:row>
      <xdr:rowOff>245160</xdr:rowOff>
    </xdr:to>
    <xdr:sp>
      <xdr:nvSpPr>
        <xdr:cNvPr id="183" name="Rectangle: Rounded Corners 14">
          <a:hlinkClick r:id="rId2"/>
        </xdr:cNvPr>
        <xdr:cNvSpPr/>
      </xdr:nvSpPr>
      <xdr:spPr>
        <a:xfrm>
          <a:off x="2160360" y="63360"/>
          <a:ext cx="200736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1</xdr:col>
      <xdr:colOff>1120680</xdr:colOff>
      <xdr:row>0</xdr:row>
      <xdr:rowOff>324000</xdr:rowOff>
    </xdr:from>
    <xdr:to>
      <xdr:col>3</xdr:col>
      <xdr:colOff>962280</xdr:colOff>
      <xdr:row>0</xdr:row>
      <xdr:rowOff>505800</xdr:rowOff>
    </xdr:to>
    <xdr:sp>
      <xdr:nvSpPr>
        <xdr:cNvPr id="184" name="Rectangle: Rounded Corners 15">
          <a:hlinkClick r:id="rId3"/>
        </xdr:cNvPr>
        <xdr:cNvSpPr/>
      </xdr:nvSpPr>
      <xdr:spPr>
        <a:xfrm>
          <a:off x="2162880" y="324000"/>
          <a:ext cx="200736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3</xdr:col>
      <xdr:colOff>998280</xdr:colOff>
      <xdr:row>0</xdr:row>
      <xdr:rowOff>63360</xdr:rowOff>
    </xdr:from>
    <xdr:to>
      <xdr:col>5</xdr:col>
      <xdr:colOff>330840</xdr:colOff>
      <xdr:row>0</xdr:row>
      <xdr:rowOff>245160</xdr:rowOff>
    </xdr:to>
    <xdr:sp>
      <xdr:nvSpPr>
        <xdr:cNvPr id="185" name="Rectangle: Rounded Corners 16">
          <a:hlinkClick r:id="rId4"/>
        </xdr:cNvPr>
        <xdr:cNvSpPr/>
      </xdr:nvSpPr>
      <xdr:spPr>
        <a:xfrm>
          <a:off x="4206240" y="63360"/>
          <a:ext cx="200916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3</xdr:col>
      <xdr:colOff>1003680</xdr:colOff>
      <xdr:row>0</xdr:row>
      <xdr:rowOff>324000</xdr:rowOff>
    </xdr:from>
    <xdr:to>
      <xdr:col>5</xdr:col>
      <xdr:colOff>336240</xdr:colOff>
      <xdr:row>0</xdr:row>
      <xdr:rowOff>505800</xdr:rowOff>
    </xdr:to>
    <xdr:sp>
      <xdr:nvSpPr>
        <xdr:cNvPr id="186" name="Rectangle: Rounded Corners 17">
          <a:hlinkClick r:id="rId5"/>
        </xdr:cNvPr>
        <xdr:cNvSpPr/>
      </xdr:nvSpPr>
      <xdr:spPr>
        <a:xfrm>
          <a:off x="4211640" y="324000"/>
          <a:ext cx="200916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6</xdr:col>
      <xdr:colOff>144360</xdr:colOff>
      <xdr:row>0</xdr:row>
      <xdr:rowOff>63360</xdr:rowOff>
    </xdr:from>
    <xdr:to>
      <xdr:col>7</xdr:col>
      <xdr:colOff>931680</xdr:colOff>
      <xdr:row>0</xdr:row>
      <xdr:rowOff>245160</xdr:rowOff>
    </xdr:to>
    <xdr:sp>
      <xdr:nvSpPr>
        <xdr:cNvPr id="187" name="Rectangle: Rounded Corners 18">
          <a:hlinkClick r:id="rId6"/>
        </xdr:cNvPr>
        <xdr:cNvSpPr/>
      </xdr:nvSpPr>
      <xdr:spPr>
        <a:xfrm>
          <a:off x="8299800" y="63360"/>
          <a:ext cx="200700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6</xdr:col>
      <xdr:colOff>154800</xdr:colOff>
      <xdr:row>0</xdr:row>
      <xdr:rowOff>324000</xdr:rowOff>
    </xdr:from>
    <xdr:to>
      <xdr:col>7</xdr:col>
      <xdr:colOff>942120</xdr:colOff>
      <xdr:row>0</xdr:row>
      <xdr:rowOff>505800</xdr:rowOff>
    </xdr:to>
    <xdr:sp>
      <xdr:nvSpPr>
        <xdr:cNvPr id="188" name="Rectangle: Rounded Corners 19">
          <a:hlinkClick r:id="rId7"/>
        </xdr:cNvPr>
        <xdr:cNvSpPr/>
      </xdr:nvSpPr>
      <xdr:spPr>
        <a:xfrm>
          <a:off x="8310240" y="324000"/>
          <a:ext cx="200700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5</xdr:col>
      <xdr:colOff>369360</xdr:colOff>
      <xdr:row>0</xdr:row>
      <xdr:rowOff>63360</xdr:rowOff>
    </xdr:from>
    <xdr:to>
      <xdr:col>6</xdr:col>
      <xdr:colOff>105480</xdr:colOff>
      <xdr:row>0</xdr:row>
      <xdr:rowOff>245160</xdr:rowOff>
    </xdr:to>
    <xdr:sp>
      <xdr:nvSpPr>
        <xdr:cNvPr id="189" name="Rectangle: Rounded Corners 20">
          <a:hlinkClick r:id="rId8"/>
        </xdr:cNvPr>
        <xdr:cNvSpPr/>
      </xdr:nvSpPr>
      <xdr:spPr>
        <a:xfrm>
          <a:off x="6253920" y="63360"/>
          <a:ext cx="200700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5</xdr:col>
      <xdr:colOff>377280</xdr:colOff>
      <xdr:row>0</xdr:row>
      <xdr:rowOff>324000</xdr:rowOff>
    </xdr:from>
    <xdr:to>
      <xdr:col>6</xdr:col>
      <xdr:colOff>113400</xdr:colOff>
      <xdr:row>0</xdr:row>
      <xdr:rowOff>505800</xdr:rowOff>
    </xdr:to>
    <xdr:sp>
      <xdr:nvSpPr>
        <xdr:cNvPr id="190" name="Rectangle: Rounded Corners 21">
          <a:hlinkClick r:id="rId9"/>
        </xdr:cNvPr>
        <xdr:cNvSpPr/>
      </xdr:nvSpPr>
      <xdr:spPr>
        <a:xfrm>
          <a:off x="6261840" y="324000"/>
          <a:ext cx="200700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1</xdr:col>
      <xdr:colOff>1079640</xdr:colOff>
      <xdr:row>0</xdr:row>
      <xdr:rowOff>245160</xdr:rowOff>
    </xdr:to>
    <xdr:sp>
      <xdr:nvSpPr>
        <xdr:cNvPr id="191" name="Rectangle: Rounded Corners 22">
          <a:hlinkClick r:id="rId10"/>
        </xdr:cNvPr>
        <xdr:cNvSpPr/>
      </xdr:nvSpPr>
      <xdr:spPr>
        <a:xfrm>
          <a:off x="114480" y="63360"/>
          <a:ext cx="200736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7</xdr:col>
      <xdr:colOff>970200</xdr:colOff>
      <xdr:row>0</xdr:row>
      <xdr:rowOff>63360</xdr:rowOff>
    </xdr:from>
    <xdr:to>
      <xdr:col>9</xdr:col>
      <xdr:colOff>407520</xdr:colOff>
      <xdr:row>0</xdr:row>
      <xdr:rowOff>245160</xdr:rowOff>
    </xdr:to>
    <xdr:sp>
      <xdr:nvSpPr>
        <xdr:cNvPr id="192" name="Rectangle: Rounded Corners 23">
          <a:hlinkClick r:id="rId11"/>
        </xdr:cNvPr>
        <xdr:cNvSpPr/>
      </xdr:nvSpPr>
      <xdr:spPr>
        <a:xfrm>
          <a:off x="10345320" y="63360"/>
          <a:ext cx="20077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7</xdr:col>
      <xdr:colOff>983520</xdr:colOff>
      <xdr:row>0</xdr:row>
      <xdr:rowOff>324000</xdr:rowOff>
    </xdr:from>
    <xdr:to>
      <xdr:col>9</xdr:col>
      <xdr:colOff>420840</xdr:colOff>
      <xdr:row>0</xdr:row>
      <xdr:rowOff>505800</xdr:rowOff>
    </xdr:to>
    <xdr:sp>
      <xdr:nvSpPr>
        <xdr:cNvPr id="193" name="Rectangle: Rounded Corners 24">
          <a:hlinkClick r:id="rId12"/>
        </xdr:cNvPr>
        <xdr:cNvSpPr/>
      </xdr:nvSpPr>
      <xdr:spPr>
        <a:xfrm>
          <a:off x="10358640" y="324000"/>
          <a:ext cx="2007720" cy="181800"/>
        </a:xfrm>
        <a:prstGeom prst="roundRect">
          <a:avLst>
            <a:gd name="adj" fmla="val 16667"/>
          </a:avLst>
        </a:prstGeom>
        <a:solidFill>
          <a:srgbClr val="4472c4"/>
        </a:solidFill>
        <a:ln w="0">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1"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9</xdr:col>
      <xdr:colOff>446040</xdr:colOff>
      <xdr:row>0</xdr:row>
      <xdr:rowOff>63360</xdr:rowOff>
    </xdr:from>
    <xdr:to>
      <xdr:col>10</xdr:col>
      <xdr:colOff>828720</xdr:colOff>
      <xdr:row>0</xdr:row>
      <xdr:rowOff>245160</xdr:rowOff>
    </xdr:to>
    <xdr:sp>
      <xdr:nvSpPr>
        <xdr:cNvPr id="194" name="Rectangle: Rounded Corners 25">
          <a:hlinkClick r:id="rId13"/>
        </xdr:cNvPr>
        <xdr:cNvSpPr/>
      </xdr:nvSpPr>
      <xdr:spPr>
        <a:xfrm>
          <a:off x="12391560" y="63360"/>
          <a:ext cx="200844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9</xdr:col>
      <xdr:colOff>461880</xdr:colOff>
      <xdr:row>0</xdr:row>
      <xdr:rowOff>324000</xdr:rowOff>
    </xdr:from>
    <xdr:to>
      <xdr:col>10</xdr:col>
      <xdr:colOff>844560</xdr:colOff>
      <xdr:row>0</xdr:row>
      <xdr:rowOff>505800</xdr:rowOff>
    </xdr:to>
    <xdr:sp>
      <xdr:nvSpPr>
        <xdr:cNvPr id="195" name="Rectangle: Rounded Corners 26">
          <a:hlinkClick r:id="rId14"/>
        </xdr:cNvPr>
        <xdr:cNvSpPr/>
      </xdr:nvSpPr>
      <xdr:spPr>
        <a:xfrm>
          <a:off x="12407400" y="324000"/>
          <a:ext cx="200844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drawings/drawing14.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2</xdr:col>
      <xdr:colOff>505800</xdr:colOff>
      <xdr:row>0</xdr:row>
      <xdr:rowOff>505800</xdr:rowOff>
    </xdr:to>
    <xdr:sp>
      <xdr:nvSpPr>
        <xdr:cNvPr id="196" name="Rectangle: Rounded Corners 52">
          <a:hlinkClick r:id="rId1"/>
        </xdr:cNvPr>
        <xdr:cNvSpPr/>
      </xdr:nvSpPr>
      <xdr:spPr>
        <a:xfrm>
          <a:off x="114480" y="324000"/>
          <a:ext cx="20314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2</xdr:col>
      <xdr:colOff>544680</xdr:colOff>
      <xdr:row>0</xdr:row>
      <xdr:rowOff>63360</xdr:rowOff>
    </xdr:from>
    <xdr:to>
      <xdr:col>5</xdr:col>
      <xdr:colOff>94680</xdr:colOff>
      <xdr:row>0</xdr:row>
      <xdr:rowOff>245160</xdr:rowOff>
    </xdr:to>
    <xdr:sp>
      <xdr:nvSpPr>
        <xdr:cNvPr id="197" name="Rectangle: Rounded Corners 53">
          <a:hlinkClick r:id="rId2"/>
        </xdr:cNvPr>
        <xdr:cNvSpPr/>
      </xdr:nvSpPr>
      <xdr:spPr>
        <a:xfrm>
          <a:off x="2184840" y="63360"/>
          <a:ext cx="20311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2</xdr:col>
      <xdr:colOff>547200</xdr:colOff>
      <xdr:row>0</xdr:row>
      <xdr:rowOff>324000</xdr:rowOff>
    </xdr:from>
    <xdr:to>
      <xdr:col>5</xdr:col>
      <xdr:colOff>97200</xdr:colOff>
      <xdr:row>0</xdr:row>
      <xdr:rowOff>505800</xdr:rowOff>
    </xdr:to>
    <xdr:sp>
      <xdr:nvSpPr>
        <xdr:cNvPr id="198" name="Rectangle: Rounded Corners 54">
          <a:hlinkClick r:id="rId3"/>
        </xdr:cNvPr>
        <xdr:cNvSpPr/>
      </xdr:nvSpPr>
      <xdr:spPr>
        <a:xfrm>
          <a:off x="2187360" y="324000"/>
          <a:ext cx="20311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5</xdr:col>
      <xdr:colOff>133560</xdr:colOff>
      <xdr:row>0</xdr:row>
      <xdr:rowOff>63360</xdr:rowOff>
    </xdr:from>
    <xdr:to>
      <xdr:col>8</xdr:col>
      <xdr:colOff>152640</xdr:colOff>
      <xdr:row>0</xdr:row>
      <xdr:rowOff>245160</xdr:rowOff>
    </xdr:to>
    <xdr:sp>
      <xdr:nvSpPr>
        <xdr:cNvPr id="199" name="Rectangle: Rounded Corners 55">
          <a:hlinkClick r:id="rId4"/>
        </xdr:cNvPr>
        <xdr:cNvSpPr/>
      </xdr:nvSpPr>
      <xdr:spPr>
        <a:xfrm>
          <a:off x="4254840" y="63360"/>
          <a:ext cx="20311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5</xdr:col>
      <xdr:colOff>138960</xdr:colOff>
      <xdr:row>0</xdr:row>
      <xdr:rowOff>324000</xdr:rowOff>
    </xdr:from>
    <xdr:to>
      <xdr:col>8</xdr:col>
      <xdr:colOff>158040</xdr:colOff>
      <xdr:row>0</xdr:row>
      <xdr:rowOff>505800</xdr:rowOff>
    </xdr:to>
    <xdr:sp>
      <xdr:nvSpPr>
        <xdr:cNvPr id="200" name="Rectangle: Rounded Corners 56">
          <a:hlinkClick r:id="rId5"/>
        </xdr:cNvPr>
        <xdr:cNvSpPr/>
      </xdr:nvSpPr>
      <xdr:spPr>
        <a:xfrm>
          <a:off x="4260240" y="324000"/>
          <a:ext cx="20311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11</xdr:col>
      <xdr:colOff>152280</xdr:colOff>
      <xdr:row>0</xdr:row>
      <xdr:rowOff>63360</xdr:rowOff>
    </xdr:from>
    <xdr:to>
      <xdr:col>13</xdr:col>
      <xdr:colOff>349200</xdr:colOff>
      <xdr:row>0</xdr:row>
      <xdr:rowOff>245160</xdr:rowOff>
    </xdr:to>
    <xdr:sp>
      <xdr:nvSpPr>
        <xdr:cNvPr id="201" name="Rectangle: Rounded Corners 57">
          <a:hlinkClick r:id="rId6"/>
        </xdr:cNvPr>
        <xdr:cNvSpPr/>
      </xdr:nvSpPr>
      <xdr:spPr>
        <a:xfrm>
          <a:off x="8395920" y="63360"/>
          <a:ext cx="20314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11</xdr:col>
      <xdr:colOff>163080</xdr:colOff>
      <xdr:row>0</xdr:row>
      <xdr:rowOff>324000</xdr:rowOff>
    </xdr:from>
    <xdr:to>
      <xdr:col>13</xdr:col>
      <xdr:colOff>360000</xdr:colOff>
      <xdr:row>0</xdr:row>
      <xdr:rowOff>505800</xdr:rowOff>
    </xdr:to>
    <xdr:sp>
      <xdr:nvSpPr>
        <xdr:cNvPr id="202" name="Rectangle: Rounded Corners 58">
          <a:hlinkClick r:id="rId7"/>
        </xdr:cNvPr>
        <xdr:cNvSpPr/>
      </xdr:nvSpPr>
      <xdr:spPr>
        <a:xfrm>
          <a:off x="8406720" y="324000"/>
          <a:ext cx="20314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8</xdr:col>
      <xdr:colOff>191520</xdr:colOff>
      <xdr:row>0</xdr:row>
      <xdr:rowOff>63360</xdr:rowOff>
    </xdr:from>
    <xdr:to>
      <xdr:col>11</xdr:col>
      <xdr:colOff>113400</xdr:colOff>
      <xdr:row>0</xdr:row>
      <xdr:rowOff>245160</xdr:rowOff>
    </xdr:to>
    <xdr:sp>
      <xdr:nvSpPr>
        <xdr:cNvPr id="203" name="Rectangle: Rounded Corners 59">
          <a:hlinkClick r:id="rId8"/>
        </xdr:cNvPr>
        <xdr:cNvSpPr/>
      </xdr:nvSpPr>
      <xdr:spPr>
        <a:xfrm>
          <a:off x="6324840" y="63360"/>
          <a:ext cx="203220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8</xdr:col>
      <xdr:colOff>199440</xdr:colOff>
      <xdr:row>0</xdr:row>
      <xdr:rowOff>324000</xdr:rowOff>
    </xdr:from>
    <xdr:to>
      <xdr:col>11</xdr:col>
      <xdr:colOff>121320</xdr:colOff>
      <xdr:row>0</xdr:row>
      <xdr:rowOff>505800</xdr:rowOff>
    </xdr:to>
    <xdr:sp>
      <xdr:nvSpPr>
        <xdr:cNvPr id="204" name="Rectangle: Rounded Corners 60">
          <a:hlinkClick r:id="rId9"/>
        </xdr:cNvPr>
        <xdr:cNvSpPr/>
      </xdr:nvSpPr>
      <xdr:spPr>
        <a:xfrm>
          <a:off x="6332760" y="324000"/>
          <a:ext cx="203220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2</xdr:col>
      <xdr:colOff>505800</xdr:colOff>
      <xdr:row>0</xdr:row>
      <xdr:rowOff>245160</xdr:rowOff>
    </xdr:to>
    <xdr:sp>
      <xdr:nvSpPr>
        <xdr:cNvPr id="205" name="Rectangle: Rounded Corners 61">
          <a:hlinkClick r:id="rId10"/>
        </xdr:cNvPr>
        <xdr:cNvSpPr/>
      </xdr:nvSpPr>
      <xdr:spPr>
        <a:xfrm>
          <a:off x="114480" y="63360"/>
          <a:ext cx="20314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13</xdr:col>
      <xdr:colOff>388080</xdr:colOff>
      <xdr:row>0</xdr:row>
      <xdr:rowOff>63360</xdr:rowOff>
    </xdr:from>
    <xdr:to>
      <xdr:col>15</xdr:col>
      <xdr:colOff>641520</xdr:colOff>
      <xdr:row>0</xdr:row>
      <xdr:rowOff>245160</xdr:rowOff>
    </xdr:to>
    <xdr:sp>
      <xdr:nvSpPr>
        <xdr:cNvPr id="206" name="Rectangle: Rounded Corners 62">
          <a:hlinkClick r:id="rId11"/>
        </xdr:cNvPr>
        <xdr:cNvSpPr/>
      </xdr:nvSpPr>
      <xdr:spPr>
        <a:xfrm>
          <a:off x="10466280" y="63360"/>
          <a:ext cx="203076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13</xdr:col>
      <xdr:colOff>401400</xdr:colOff>
      <xdr:row>0</xdr:row>
      <xdr:rowOff>324000</xdr:rowOff>
    </xdr:from>
    <xdr:to>
      <xdr:col>15</xdr:col>
      <xdr:colOff>654840</xdr:colOff>
      <xdr:row>0</xdr:row>
      <xdr:rowOff>505800</xdr:rowOff>
    </xdr:to>
    <xdr:sp>
      <xdr:nvSpPr>
        <xdr:cNvPr id="207" name="Rectangle: Rounded Corners 63">
          <a:hlinkClick r:id="rId12"/>
        </xdr:cNvPr>
        <xdr:cNvSpPr/>
      </xdr:nvSpPr>
      <xdr:spPr>
        <a:xfrm>
          <a:off x="10479600" y="324000"/>
          <a:ext cx="203076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15</xdr:col>
      <xdr:colOff>680400</xdr:colOff>
      <xdr:row>0</xdr:row>
      <xdr:rowOff>63360</xdr:rowOff>
    </xdr:from>
    <xdr:to>
      <xdr:col>18</xdr:col>
      <xdr:colOff>206280</xdr:colOff>
      <xdr:row>0</xdr:row>
      <xdr:rowOff>245160</xdr:rowOff>
    </xdr:to>
    <xdr:sp>
      <xdr:nvSpPr>
        <xdr:cNvPr id="208" name="Rectangle: Rounded Corners 64">
          <a:hlinkClick r:id="rId13"/>
        </xdr:cNvPr>
        <xdr:cNvSpPr/>
      </xdr:nvSpPr>
      <xdr:spPr>
        <a:xfrm>
          <a:off x="12535920" y="63360"/>
          <a:ext cx="20314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15</xdr:col>
      <xdr:colOff>696600</xdr:colOff>
      <xdr:row>0</xdr:row>
      <xdr:rowOff>324000</xdr:rowOff>
    </xdr:from>
    <xdr:to>
      <xdr:col>18</xdr:col>
      <xdr:colOff>222480</xdr:colOff>
      <xdr:row>0</xdr:row>
      <xdr:rowOff>505800</xdr:rowOff>
    </xdr:to>
    <xdr:sp>
      <xdr:nvSpPr>
        <xdr:cNvPr id="209" name="Rectangle: Rounded Corners 65">
          <a:hlinkClick r:id="rId14"/>
        </xdr:cNvPr>
        <xdr:cNvSpPr/>
      </xdr:nvSpPr>
      <xdr:spPr>
        <a:xfrm>
          <a:off x="12552120" y="324000"/>
          <a:ext cx="2031480" cy="181800"/>
        </a:xfrm>
        <a:prstGeom prst="roundRect">
          <a:avLst>
            <a:gd name="adj" fmla="val 16667"/>
          </a:avLst>
        </a:prstGeom>
        <a:solidFill>
          <a:srgbClr val="4472c4"/>
        </a:solidFill>
        <a:ln w="0">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1"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drawings/drawing15.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1</xdr:col>
      <xdr:colOff>1343160</xdr:colOff>
      <xdr:row>0</xdr:row>
      <xdr:rowOff>505800</xdr:rowOff>
    </xdr:to>
    <xdr:sp>
      <xdr:nvSpPr>
        <xdr:cNvPr id="210" name="Rectangle: Rounded Corners 2">
          <a:hlinkClick r:id="rId1"/>
        </xdr:cNvPr>
        <xdr:cNvSpPr/>
      </xdr:nvSpPr>
      <xdr:spPr>
        <a:xfrm>
          <a:off x="114480" y="324000"/>
          <a:ext cx="20041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1</xdr:col>
      <xdr:colOff>1381320</xdr:colOff>
      <xdr:row>0</xdr:row>
      <xdr:rowOff>63360</xdr:rowOff>
    </xdr:from>
    <xdr:to>
      <xdr:col>2</xdr:col>
      <xdr:colOff>1591200</xdr:colOff>
      <xdr:row>0</xdr:row>
      <xdr:rowOff>245160</xdr:rowOff>
    </xdr:to>
    <xdr:sp>
      <xdr:nvSpPr>
        <xdr:cNvPr id="211" name="Rectangle: Rounded Corners 3">
          <a:hlinkClick r:id="rId2"/>
        </xdr:cNvPr>
        <xdr:cNvSpPr/>
      </xdr:nvSpPr>
      <xdr:spPr>
        <a:xfrm>
          <a:off x="2156760" y="63360"/>
          <a:ext cx="20041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1</xdr:col>
      <xdr:colOff>1384200</xdr:colOff>
      <xdr:row>0</xdr:row>
      <xdr:rowOff>324000</xdr:rowOff>
    </xdr:from>
    <xdr:to>
      <xdr:col>2</xdr:col>
      <xdr:colOff>1594080</xdr:colOff>
      <xdr:row>0</xdr:row>
      <xdr:rowOff>505800</xdr:rowOff>
    </xdr:to>
    <xdr:sp>
      <xdr:nvSpPr>
        <xdr:cNvPr id="212" name="Rectangle: Rounded Corners 4">
          <a:hlinkClick r:id="rId3"/>
        </xdr:cNvPr>
        <xdr:cNvSpPr/>
      </xdr:nvSpPr>
      <xdr:spPr>
        <a:xfrm>
          <a:off x="2159640" y="324000"/>
          <a:ext cx="20041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2</xdr:col>
      <xdr:colOff>1629720</xdr:colOff>
      <xdr:row>0</xdr:row>
      <xdr:rowOff>63360</xdr:rowOff>
    </xdr:from>
    <xdr:to>
      <xdr:col>2</xdr:col>
      <xdr:colOff>3634200</xdr:colOff>
      <xdr:row>0</xdr:row>
      <xdr:rowOff>245160</xdr:rowOff>
    </xdr:to>
    <xdr:sp>
      <xdr:nvSpPr>
        <xdr:cNvPr id="213" name="Rectangle: Rounded Corners 5">
          <a:hlinkClick r:id="rId4"/>
        </xdr:cNvPr>
        <xdr:cNvSpPr/>
      </xdr:nvSpPr>
      <xdr:spPr>
        <a:xfrm>
          <a:off x="4199400" y="63360"/>
          <a:ext cx="20044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2</xdr:col>
      <xdr:colOff>1635120</xdr:colOff>
      <xdr:row>0</xdr:row>
      <xdr:rowOff>324000</xdr:rowOff>
    </xdr:from>
    <xdr:to>
      <xdr:col>2</xdr:col>
      <xdr:colOff>3639600</xdr:colOff>
      <xdr:row>0</xdr:row>
      <xdr:rowOff>505800</xdr:rowOff>
    </xdr:to>
    <xdr:sp>
      <xdr:nvSpPr>
        <xdr:cNvPr id="214" name="Rectangle: Rounded Corners 6">
          <a:hlinkClick r:id="rId5"/>
        </xdr:cNvPr>
        <xdr:cNvSpPr/>
      </xdr:nvSpPr>
      <xdr:spPr>
        <a:xfrm>
          <a:off x="4204800" y="324000"/>
          <a:ext cx="20044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2</xdr:col>
      <xdr:colOff>5715360</xdr:colOff>
      <xdr:row>0</xdr:row>
      <xdr:rowOff>63360</xdr:rowOff>
    </xdr:from>
    <xdr:to>
      <xdr:col>5</xdr:col>
      <xdr:colOff>187920</xdr:colOff>
      <xdr:row>0</xdr:row>
      <xdr:rowOff>245160</xdr:rowOff>
    </xdr:to>
    <xdr:sp>
      <xdr:nvSpPr>
        <xdr:cNvPr id="215" name="Rectangle: Rounded Corners 7">
          <a:hlinkClick r:id="rId6"/>
        </xdr:cNvPr>
        <xdr:cNvSpPr/>
      </xdr:nvSpPr>
      <xdr:spPr>
        <a:xfrm>
          <a:off x="8285040" y="63360"/>
          <a:ext cx="20062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2</xdr:col>
      <xdr:colOff>5726160</xdr:colOff>
      <xdr:row>0</xdr:row>
      <xdr:rowOff>324000</xdr:rowOff>
    </xdr:from>
    <xdr:to>
      <xdr:col>5</xdr:col>
      <xdr:colOff>198720</xdr:colOff>
      <xdr:row>0</xdr:row>
      <xdr:rowOff>505800</xdr:rowOff>
    </xdr:to>
    <xdr:sp>
      <xdr:nvSpPr>
        <xdr:cNvPr id="216" name="Rectangle: Rounded Corners 8">
          <a:hlinkClick r:id="rId7"/>
        </xdr:cNvPr>
        <xdr:cNvSpPr/>
      </xdr:nvSpPr>
      <xdr:spPr>
        <a:xfrm>
          <a:off x="8295840" y="324000"/>
          <a:ext cx="20062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2</xdr:col>
      <xdr:colOff>3672360</xdr:colOff>
      <xdr:row>0</xdr:row>
      <xdr:rowOff>63360</xdr:rowOff>
    </xdr:from>
    <xdr:to>
      <xdr:col>2</xdr:col>
      <xdr:colOff>5676840</xdr:colOff>
      <xdr:row>0</xdr:row>
      <xdr:rowOff>245160</xdr:rowOff>
    </xdr:to>
    <xdr:sp>
      <xdr:nvSpPr>
        <xdr:cNvPr id="217" name="Rectangle: Rounded Corners 9">
          <a:hlinkClick r:id="rId8"/>
        </xdr:cNvPr>
        <xdr:cNvSpPr/>
      </xdr:nvSpPr>
      <xdr:spPr>
        <a:xfrm>
          <a:off x="6242040" y="63360"/>
          <a:ext cx="20044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2</xdr:col>
      <xdr:colOff>3680640</xdr:colOff>
      <xdr:row>0</xdr:row>
      <xdr:rowOff>324000</xdr:rowOff>
    </xdr:from>
    <xdr:to>
      <xdr:col>2</xdr:col>
      <xdr:colOff>5685120</xdr:colOff>
      <xdr:row>0</xdr:row>
      <xdr:rowOff>505800</xdr:rowOff>
    </xdr:to>
    <xdr:sp>
      <xdr:nvSpPr>
        <xdr:cNvPr id="218" name="Rectangle: Rounded Corners 10">
          <a:hlinkClick r:id="rId9"/>
        </xdr:cNvPr>
        <xdr:cNvSpPr/>
      </xdr:nvSpPr>
      <xdr:spPr>
        <a:xfrm>
          <a:off x="6250320" y="324000"/>
          <a:ext cx="200448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1</xdr:col>
      <xdr:colOff>1343160</xdr:colOff>
      <xdr:row>0</xdr:row>
      <xdr:rowOff>245160</xdr:rowOff>
    </xdr:to>
    <xdr:sp>
      <xdr:nvSpPr>
        <xdr:cNvPr id="219" name="Rectangle: Rounded Corners 11">
          <a:hlinkClick r:id="rId10"/>
        </xdr:cNvPr>
        <xdr:cNvSpPr/>
      </xdr:nvSpPr>
      <xdr:spPr>
        <a:xfrm>
          <a:off x="114480" y="63360"/>
          <a:ext cx="20041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5</xdr:col>
      <xdr:colOff>226440</xdr:colOff>
      <xdr:row>0</xdr:row>
      <xdr:rowOff>63360</xdr:rowOff>
    </xdr:from>
    <xdr:to>
      <xdr:col>7</xdr:col>
      <xdr:colOff>713520</xdr:colOff>
      <xdr:row>0</xdr:row>
      <xdr:rowOff>245160</xdr:rowOff>
    </xdr:to>
    <xdr:sp>
      <xdr:nvSpPr>
        <xdr:cNvPr id="220" name="Rectangle: Rounded Corners 12">
          <a:hlinkClick r:id="rId11"/>
        </xdr:cNvPr>
        <xdr:cNvSpPr/>
      </xdr:nvSpPr>
      <xdr:spPr>
        <a:xfrm>
          <a:off x="10329840" y="63360"/>
          <a:ext cx="200592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5</xdr:col>
      <xdr:colOff>239760</xdr:colOff>
      <xdr:row>0</xdr:row>
      <xdr:rowOff>324000</xdr:rowOff>
    </xdr:from>
    <xdr:to>
      <xdr:col>7</xdr:col>
      <xdr:colOff>726840</xdr:colOff>
      <xdr:row>0</xdr:row>
      <xdr:rowOff>505800</xdr:rowOff>
    </xdr:to>
    <xdr:sp>
      <xdr:nvSpPr>
        <xdr:cNvPr id="221" name="Rectangle: Rounded Corners 13">
          <a:hlinkClick r:id="rId12"/>
        </xdr:cNvPr>
        <xdr:cNvSpPr/>
      </xdr:nvSpPr>
      <xdr:spPr>
        <a:xfrm>
          <a:off x="10343160" y="324000"/>
          <a:ext cx="200592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7</xdr:col>
      <xdr:colOff>751680</xdr:colOff>
      <xdr:row>0</xdr:row>
      <xdr:rowOff>63360</xdr:rowOff>
    </xdr:from>
    <xdr:to>
      <xdr:col>10</xdr:col>
      <xdr:colOff>479520</xdr:colOff>
      <xdr:row>0</xdr:row>
      <xdr:rowOff>245160</xdr:rowOff>
    </xdr:to>
    <xdr:sp>
      <xdr:nvSpPr>
        <xdr:cNvPr id="222" name="Rectangle: Rounded Corners 14">
          <a:hlinkClick r:id="rId13"/>
        </xdr:cNvPr>
        <xdr:cNvSpPr/>
      </xdr:nvSpPr>
      <xdr:spPr>
        <a:xfrm>
          <a:off x="12373920" y="63360"/>
          <a:ext cx="2006280" cy="181800"/>
        </a:xfrm>
        <a:prstGeom prst="roundRect">
          <a:avLst>
            <a:gd name="adj" fmla="val 16667"/>
          </a:avLst>
        </a:prstGeom>
        <a:solidFill>
          <a:srgbClr val="4472c4"/>
        </a:solidFill>
        <a:ln w="0">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8</xdr:col>
      <xdr:colOff>9000</xdr:colOff>
      <xdr:row>0</xdr:row>
      <xdr:rowOff>324000</xdr:rowOff>
    </xdr:from>
    <xdr:to>
      <xdr:col>10</xdr:col>
      <xdr:colOff>495720</xdr:colOff>
      <xdr:row>0</xdr:row>
      <xdr:rowOff>505800</xdr:rowOff>
    </xdr:to>
    <xdr:sp>
      <xdr:nvSpPr>
        <xdr:cNvPr id="223" name="Rectangle: Rounded Corners 15">
          <a:hlinkClick r:id="rId14"/>
        </xdr:cNvPr>
        <xdr:cNvSpPr/>
      </xdr:nvSpPr>
      <xdr:spPr>
        <a:xfrm>
          <a:off x="12390840" y="324000"/>
          <a:ext cx="2005560" cy="181800"/>
        </a:xfrm>
        <a:prstGeom prst="roundRect">
          <a:avLst>
            <a:gd name="adj" fmla="val 16667"/>
          </a:avLst>
        </a:prstGeom>
        <a:solidFill>
          <a:srgbClr val="4472c4"/>
        </a:solidFill>
        <a:ln w="0">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pivotCache/_rels/pivotCacheDefinition1.xml.rels><?xml version="1.0" encoding="UTF-8"?>
<Relationships xmlns="http://schemas.openxmlformats.org/package/2006/relationships"><Relationship Id="rId1" Type="http://schemas.openxmlformats.org/officeDocument/2006/relationships/pivotCacheRecords" Target="pivotCacheRecords1.xml"/>
</Relationships>
</file>

<file path=xl/pivotCache/pivotCacheDefinition1.xml><?xml version="1.0" encoding="utf-8"?>
<pivotCacheDefinition xmlns="http://schemas.openxmlformats.org/spreadsheetml/2006/main" xmlns:r="http://schemas.openxmlformats.org/officeDocument/2006/relationships" r:id="rId1" recordCount="28" createdVersion="3">
  <cacheSource type="worksheet">
    <worksheetSource ref="A3:M1005" sheet="G2S2-Dump"/>
  </cacheSource>
  <cacheFields count="13">
    <cacheField name="canonical_marketplace_id" numFmtId="0">
      <sharedItems containsString="0" containsBlank="1" containsNumber="1" containsInteger="1" minValue="111172" maxValue="111172" count="2">
        <n v="111172"/>
        <m/>
      </sharedItems>
    </cacheField>
    <cacheField name="cmt_client_id" numFmtId="0">
      <sharedItems containsString="0" containsBlank="1" containsNumber="1" containsInteger="1" minValue="6740020445" maxValue="6740020445" count="2">
        <n v="6740020445"/>
        <m/>
      </sharedItems>
    </cacheField>
    <cacheField name="cmt_store_qualifier" numFmtId="0">
      <sharedItems containsBlank="1" count="2">
        <s v="NEW"/>
        <m/>
      </sharedItems>
    </cacheField>
    <cacheField name="gl_product_group_type_v2" numFmtId="0">
      <sharedItems containsBlank="1" count="29">
        <s v="gl_automotive"/>
        <s v="gl_beauty"/>
        <s v="gl_camera"/>
        <s v="gl_digital_devices_4"/>
        <s v="gl_digital_products_3"/>
        <s v="gl_digital_products_9_accessory"/>
        <s v="gl_digital_text"/>
        <s v="gl_drugstore"/>
        <s v="gl_dvd"/>
        <s v="gl_electronics"/>
        <s v="gl_home"/>
        <s v="gl_home_entertainment"/>
        <s v="gl_home_improvement"/>
        <s v="gl_kitchen"/>
        <s v="gl_lawn_and_garden"/>
        <s v="gl_music"/>
        <s v="gl_musical_instruments"/>
        <s v="gl_office_product"/>
        <s v="gl_pc"/>
        <s v="gl_personal_care_appliances"/>
        <s v="gl_pet_products"/>
        <s v="gl_software"/>
        <s v="gl_sports"/>
        <s v="gl_tools"/>
        <s v="gl_toy"/>
        <s v="gl_video_games"/>
        <s v="gl_watch"/>
        <s v="gl_wireless"/>
        <m/>
      </sharedItems>
    </cacheField>
    <cacheField name="retail_category_v2" numFmtId="0">
      <sharedItems containsBlank="1" count="2">
        <s v="default"/>
        <m/>
      </sharedItems>
    </cacheField>
    <cacheField name="retail_subcategory_v2" numFmtId="0">
      <sharedItems containsBlank="1" count="2">
        <s v="default"/>
        <m/>
      </sharedItems>
    </cacheField>
    <cacheField name="cmt_competitor_name" numFmtId="0">
      <sharedItems containsBlank="1" count="2">
        <s v="JBHi-Fi-AU"/>
        <m/>
      </sharedItems>
    </cacheField>
    <cacheField name="cmt_competitor_type" numFmtId="0">
      <sharedItems containsBlank="1" count="2">
        <s v="ONLINE"/>
        <m/>
      </sharedItems>
    </cacheField>
    <cacheField name="cmt_zip_region" numFmtId="0">
      <sharedItems containsBlank="1" count="2">
        <s v="Any"/>
        <m/>
      </sharedItems>
    </cacheField>
    <cacheField name="cmt_matching_type" numFmtId="0">
      <sharedItems containsBlank="1" count="2">
        <s v="EXACT"/>
        <m/>
      </sharedItems>
    </cacheField>
    <cacheField name="cmt_tenant" numFmtId="0">
      <sharedItems containsBlank="1" count="2">
        <s v="RETAIL"/>
        <m/>
      </sharedItems>
    </cacheField>
    <cacheField name="stage_version" numFmtId="0">
      <sharedItems containsBlank="1" count="6">
        <s v="CMTImportWorkflowUniproJP"/>
        <s v="CMTImportWorkflowUniproJP-200"/>
        <s v="CMTImportWorkflowUniproJP-66"/>
        <s v="patch-CMTImportWorkflowUniproJP-1613141732219"/>
        <s v="patch-CMTImportWorkflowUniproJP-1629295978853"/>
        <m/>
      </sharedItems>
    </cacheField>
    <cacheField name="Option" numFmtId="0">
      <sharedItems containsBlank="1" count="2">
        <s v="Edit | Delete"/>
        <m/>
      </sharedItems>
    </cacheField>
  </cacheFields>
</pivotCacheDefinition>
</file>

<file path=xl/pivotCache/pivotCacheRecords1.xml><?xml version="1.0" encoding="utf-8"?>
<pivotCacheRecords xmlns="http://schemas.openxmlformats.org/spreadsheetml/2006/main" xmlns:r="http://schemas.openxmlformats.org/officeDocument/2006/relationships" count="28">
  <r>
    <x v="0"/>
    <x v="0"/>
    <x v="0"/>
    <x v="23"/>
    <x v="0"/>
    <x v="0"/>
    <x v="0"/>
    <x v="0"/>
    <x v="0"/>
    <x v="0"/>
    <x v="0"/>
    <x v="4"/>
    <x v="0"/>
  </r>
  <r>
    <x v="0"/>
    <x v="0"/>
    <x v="0"/>
    <x v="19"/>
    <x v="0"/>
    <x v="0"/>
    <x v="0"/>
    <x v="0"/>
    <x v="0"/>
    <x v="0"/>
    <x v="0"/>
    <x v="3"/>
    <x v="0"/>
  </r>
  <r>
    <x v="0"/>
    <x v="0"/>
    <x v="0"/>
    <x v="14"/>
    <x v="0"/>
    <x v="0"/>
    <x v="0"/>
    <x v="0"/>
    <x v="0"/>
    <x v="0"/>
    <x v="0"/>
    <x v="1"/>
    <x v="0"/>
  </r>
  <r>
    <x v="0"/>
    <x v="0"/>
    <x v="0"/>
    <x v="20"/>
    <x v="0"/>
    <x v="0"/>
    <x v="0"/>
    <x v="0"/>
    <x v="0"/>
    <x v="0"/>
    <x v="0"/>
    <x v="1"/>
    <x v="0"/>
  </r>
  <r>
    <x v="0"/>
    <x v="0"/>
    <x v="0"/>
    <x v="5"/>
    <x v="0"/>
    <x v="0"/>
    <x v="0"/>
    <x v="0"/>
    <x v="0"/>
    <x v="0"/>
    <x v="0"/>
    <x v="2"/>
    <x v="0"/>
  </r>
  <r>
    <x v="0"/>
    <x v="0"/>
    <x v="0"/>
    <x v="15"/>
    <x v="0"/>
    <x v="0"/>
    <x v="0"/>
    <x v="0"/>
    <x v="0"/>
    <x v="0"/>
    <x v="0"/>
    <x v="0"/>
    <x v="0"/>
  </r>
  <r>
    <x v="0"/>
    <x v="0"/>
    <x v="0"/>
    <x v="10"/>
    <x v="0"/>
    <x v="0"/>
    <x v="0"/>
    <x v="0"/>
    <x v="0"/>
    <x v="0"/>
    <x v="0"/>
    <x v="0"/>
    <x v="0"/>
  </r>
  <r>
    <x v="0"/>
    <x v="0"/>
    <x v="0"/>
    <x v="4"/>
    <x v="0"/>
    <x v="0"/>
    <x v="0"/>
    <x v="0"/>
    <x v="0"/>
    <x v="0"/>
    <x v="0"/>
    <x v="0"/>
    <x v="0"/>
  </r>
  <r>
    <x v="0"/>
    <x v="0"/>
    <x v="0"/>
    <x v="24"/>
    <x v="0"/>
    <x v="0"/>
    <x v="0"/>
    <x v="0"/>
    <x v="0"/>
    <x v="0"/>
    <x v="0"/>
    <x v="0"/>
    <x v="0"/>
  </r>
  <r>
    <x v="0"/>
    <x v="0"/>
    <x v="0"/>
    <x v="27"/>
    <x v="0"/>
    <x v="0"/>
    <x v="0"/>
    <x v="0"/>
    <x v="0"/>
    <x v="0"/>
    <x v="0"/>
    <x v="0"/>
    <x v="0"/>
  </r>
  <r>
    <x v="0"/>
    <x v="0"/>
    <x v="0"/>
    <x v="2"/>
    <x v="0"/>
    <x v="0"/>
    <x v="0"/>
    <x v="0"/>
    <x v="0"/>
    <x v="0"/>
    <x v="0"/>
    <x v="0"/>
    <x v="0"/>
  </r>
  <r>
    <x v="0"/>
    <x v="0"/>
    <x v="0"/>
    <x v="11"/>
    <x v="0"/>
    <x v="0"/>
    <x v="0"/>
    <x v="0"/>
    <x v="0"/>
    <x v="0"/>
    <x v="0"/>
    <x v="0"/>
    <x v="0"/>
  </r>
  <r>
    <x v="0"/>
    <x v="0"/>
    <x v="0"/>
    <x v="6"/>
    <x v="0"/>
    <x v="0"/>
    <x v="0"/>
    <x v="0"/>
    <x v="0"/>
    <x v="0"/>
    <x v="0"/>
    <x v="0"/>
    <x v="0"/>
  </r>
  <r>
    <x v="0"/>
    <x v="0"/>
    <x v="0"/>
    <x v="7"/>
    <x v="0"/>
    <x v="0"/>
    <x v="0"/>
    <x v="0"/>
    <x v="0"/>
    <x v="0"/>
    <x v="0"/>
    <x v="0"/>
    <x v="0"/>
  </r>
  <r>
    <x v="0"/>
    <x v="0"/>
    <x v="0"/>
    <x v="8"/>
    <x v="0"/>
    <x v="0"/>
    <x v="0"/>
    <x v="0"/>
    <x v="0"/>
    <x v="0"/>
    <x v="0"/>
    <x v="0"/>
    <x v="0"/>
  </r>
  <r>
    <x v="0"/>
    <x v="0"/>
    <x v="0"/>
    <x v="1"/>
    <x v="0"/>
    <x v="0"/>
    <x v="0"/>
    <x v="0"/>
    <x v="0"/>
    <x v="0"/>
    <x v="0"/>
    <x v="0"/>
    <x v="0"/>
  </r>
  <r>
    <x v="0"/>
    <x v="0"/>
    <x v="0"/>
    <x v="22"/>
    <x v="0"/>
    <x v="0"/>
    <x v="0"/>
    <x v="0"/>
    <x v="0"/>
    <x v="0"/>
    <x v="0"/>
    <x v="0"/>
    <x v="0"/>
  </r>
  <r>
    <x v="0"/>
    <x v="0"/>
    <x v="0"/>
    <x v="26"/>
    <x v="0"/>
    <x v="0"/>
    <x v="0"/>
    <x v="0"/>
    <x v="0"/>
    <x v="0"/>
    <x v="0"/>
    <x v="0"/>
    <x v="0"/>
  </r>
  <r>
    <x v="0"/>
    <x v="0"/>
    <x v="0"/>
    <x v="3"/>
    <x v="0"/>
    <x v="0"/>
    <x v="0"/>
    <x v="0"/>
    <x v="0"/>
    <x v="0"/>
    <x v="0"/>
    <x v="0"/>
    <x v="0"/>
  </r>
  <r>
    <x v="0"/>
    <x v="0"/>
    <x v="0"/>
    <x v="21"/>
    <x v="0"/>
    <x v="0"/>
    <x v="0"/>
    <x v="0"/>
    <x v="0"/>
    <x v="0"/>
    <x v="0"/>
    <x v="0"/>
    <x v="0"/>
  </r>
  <r>
    <x v="0"/>
    <x v="0"/>
    <x v="0"/>
    <x v="12"/>
    <x v="0"/>
    <x v="0"/>
    <x v="0"/>
    <x v="0"/>
    <x v="0"/>
    <x v="0"/>
    <x v="0"/>
    <x v="0"/>
    <x v="0"/>
  </r>
  <r>
    <x v="0"/>
    <x v="0"/>
    <x v="0"/>
    <x v="18"/>
    <x v="0"/>
    <x v="0"/>
    <x v="0"/>
    <x v="0"/>
    <x v="0"/>
    <x v="0"/>
    <x v="0"/>
    <x v="0"/>
    <x v="0"/>
  </r>
  <r>
    <x v="0"/>
    <x v="0"/>
    <x v="0"/>
    <x v="17"/>
    <x v="0"/>
    <x v="0"/>
    <x v="0"/>
    <x v="0"/>
    <x v="0"/>
    <x v="0"/>
    <x v="0"/>
    <x v="0"/>
    <x v="0"/>
  </r>
  <r>
    <x v="0"/>
    <x v="0"/>
    <x v="0"/>
    <x v="0"/>
    <x v="0"/>
    <x v="0"/>
    <x v="0"/>
    <x v="0"/>
    <x v="0"/>
    <x v="0"/>
    <x v="0"/>
    <x v="0"/>
    <x v="0"/>
  </r>
  <r>
    <x v="0"/>
    <x v="0"/>
    <x v="0"/>
    <x v="13"/>
    <x v="0"/>
    <x v="0"/>
    <x v="0"/>
    <x v="0"/>
    <x v="0"/>
    <x v="0"/>
    <x v="0"/>
    <x v="0"/>
    <x v="0"/>
  </r>
  <r>
    <x v="0"/>
    <x v="0"/>
    <x v="0"/>
    <x v="9"/>
    <x v="0"/>
    <x v="0"/>
    <x v="0"/>
    <x v="0"/>
    <x v="0"/>
    <x v="0"/>
    <x v="0"/>
    <x v="0"/>
    <x v="0"/>
  </r>
  <r>
    <x v="0"/>
    <x v="0"/>
    <x v="0"/>
    <x v="25"/>
    <x v="0"/>
    <x v="0"/>
    <x v="0"/>
    <x v="0"/>
    <x v="0"/>
    <x v="0"/>
    <x v="0"/>
    <x v="0"/>
    <x v="0"/>
  </r>
  <r>
    <x v="0"/>
    <x v="0"/>
    <x v="0"/>
    <x v="16"/>
    <x v="0"/>
    <x v="0"/>
    <x v="0"/>
    <x v="0"/>
    <x v="0"/>
    <x v="0"/>
    <x v="0"/>
    <x v="5"/>
    <x v="1"/>
  </r>
</pivotCacheRecords>
</file>

<file path=xl/pivotTables/_rels/pivotTable1.xml.rels><?xml version="1.0" encoding="UTF-8"?>
<Relationships xmlns="http://schemas.openxmlformats.org/package/2006/relationships"><Relationship Id="rId1" Type="http://schemas.openxmlformats.org/officeDocument/2006/relationships/pivotCacheDefinition" Target="../pivotCache/pivotCacheDefinition1.xml"/>
</Relationships>
</file>

<file path=xl/pivotTables/pivotTable1.xml><?xml version="1.0" encoding="utf-8"?>
<pivotTableDefinition xmlns="http://schemas.openxmlformats.org/spreadsheetml/2006/main" name="PivotTable4" cacheId="1" applyNumberFormats="0" applyBorderFormats="0" applyFontFormats="0" applyPatternFormats="0" applyAlignmentFormats="0" applyWidthHeightFormats="0" dataCaption="Values" useAutoFormatting="0" itemPrintTitles="1" indent="0" outline="1" outlineData="1" compact="0" compactData="0">
  <location ref="A1005:B1035" firstHeaderRow="1" firstDataRow="1" firstDataCol="1"/>
  <pivotFields count="13">
    <pivotField compact="0" showAll="0"/>
    <pivotField compact="0" showAll="0"/>
    <pivotField compact="0" showAll="0"/>
    <pivotField axis="axisRow" compact="0" showAll="0">
      <items count="30">
        <item x="10"/>
        <item x="12"/>
        <item x="13"/>
        <item x="17"/>
        <item x="22"/>
        <item x="24"/>
        <item x="27"/>
        <item x="28"/>
        <item x="19"/>
        <item x="20"/>
        <item x="7"/>
        <item x="1"/>
        <item x="0"/>
        <item x="9"/>
        <item x="18"/>
        <item x="16"/>
        <item x="2"/>
        <item x="14"/>
        <item x="11"/>
        <item x="15"/>
        <item x="8"/>
        <item x="21"/>
        <item x="6"/>
        <item x="3"/>
        <item x="4"/>
        <item x="25"/>
        <item x="26"/>
        <item x="23"/>
        <item x="5"/>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s>
  <rowFields count="1">
    <field x="3"/>
  </rowFields>
  <pivotTableStyleInfo name="PivotStyleLight16" showRowHeaders="1" showColHeaders="1" showRowStripes="0" showColStripes="0" showLastColumn="1"/>
</pivotTableDefinition>
</file>

<file path=xl/tables/table1.xml><?xml version="1.0" encoding="utf-8"?>
<table xmlns="http://schemas.openxmlformats.org/spreadsheetml/2006/main" id="1" name="GL_Monitored" displayName="GL_Monitored" ref="A2:B40" headerRowCount="1" totalsRowCount="0" totalsRowShown="0">
  <autoFilter ref="A2:B40"/>
  <tableColumns count="2">
    <tableColumn id="1" name="GL"/>
    <tableColumn id="2" name="PL"/>
  </tableColumns>
</table>
</file>

<file path=xl/tables/table2.xml><?xml version="1.0" encoding="utf-8"?>
<table xmlns="http://schemas.openxmlformats.org/spreadsheetml/2006/main" id="2" name="Matching_Tb" displayName="Matching_Tb" ref="A2:T100" headerRowCount="1" totalsRowCount="0" totalsRowShown="0">
  <autoFilter ref="A2:T100"/>
  <tableColumns count="20">
    <tableColumn id="1" name="Channel"/>
    <tableColumn id="2" name="MKPL"/>
    <tableColumn id="3" name="PL"/>
    <tableColumn id="4" name="GL"/>
    <tableColumn id="5" name="Competitor Name"/>
    <tableColumn id="6" name="CMT  Set-up"/>
    <tableColumn id="7" name="Start date"/>
    <tableColumn id="8" name="End date"/>
    <tableColumn id="9" name="Competitor URL"/>
    <tableColumn id="10" name="Promo code"/>
    <tableColumn id="11" name="Offer Details"/>
    <tableColumn id="12" name="TT Link"/>
    <tableColumn id="13" name="Can be matched ? "/>
    <tableColumn id="14" name="Sample URLs"/>
    <tableColumn id="15" name="Rebate type"/>
    <tableColumn id="16" name="Comment"/>
    <tableColumn id="17" name="X"/>
    <tableColumn id="18" name="Y"/>
    <tableColumn id="19" name="Z"/>
    <tableColumn id="20" name="Exclusions"/>
  </tableColumns>
</table>
</file>

<file path=xl/tables/table3.xml><?xml version="1.0" encoding="utf-8"?>
<table xmlns="http://schemas.openxmlformats.org/spreadsheetml/2006/main" id="3" name="Productivity_Table" displayName="Productivity_Table" ref="A2:U33" headerRowCount="1" totalsRowCount="0" totalsRowShown="0">
  <tableColumns count="21">
    <tableColumn id="1" name="Month"/>
    <tableColumn id="2" name="No. Of Competitors"/>
    <tableColumn id="3" name="Promotions Identified"/>
    <tableColumn id="4" name="Vibes Created"/>
    <tableColumn id="5" name="Tickets"/>
    <tableColumn id="6" name="Mails"/>
    <tableColumn id="7" name="Stark Count"/>
    <tableColumn id="8" name="Tesla Count"/>
    <tableColumn id="9" name="Rudra"/>
    <tableColumn id="10" name="Cosmo"/>
    <tableColumn id="11" name="Tesla audits"/>
    <tableColumn id="12" name="Number of Hours extended"/>
    <tableColumn id="13" name="Adhoc (In Hrs)"/>
    <tableColumn id="14" name="Comments"/>
    <tableColumn id="15" name="Date"/>
    <tableColumn id="16" name="Created"/>
    <tableColumn id="17" name="Created By"/>
    <tableColumn id="18" name="Modified"/>
    <tableColumn id="19" name="Modified By"/>
    <tableColumn id="20" name="Date and Time"/>
    <tableColumn id="21" name="Number of promotions matched"/>
  </tableColumns>
</table>
</file>

<file path=xl/tables/table4.xml><?xml version="1.0" encoding="utf-8"?>
<table xmlns="http://schemas.openxmlformats.org/spreadsheetml/2006/main" id="4" name="Retail_Tb" displayName="Retail_Tb" ref="A2:M100" headerRowCount="1" totalsRowCount="0" totalsRowShown="0">
  <autoFilter ref="A2:M100"/>
  <tableColumns count="13">
    <tableColumn id="1" name="Channel"/>
    <tableColumn id="2" name="MKPL"/>
    <tableColumn id="3" name="PL"/>
    <tableColumn id="4" name="GL"/>
    <tableColumn id="5" name="Competitor Name"/>
    <tableColumn id="6" name="CMT Recommended Set-up"/>
    <tableColumn id="7" name="Start date"/>
    <tableColumn id="8" name="End date"/>
    <tableColumn id="9" name="Competitor URL"/>
    <tableColumn id="10" name="Promo code"/>
    <tableColumn id="11" name="Offer Details"/>
    <tableColumn id="12" name="TT"/>
    <tableColumn id="13" name="Disclaimer"/>
  </tableColumns>
</table>
</file>

<file path=xl/tables/table5.xml><?xml version="1.0" encoding="utf-8"?>
<table xmlns="http://schemas.openxmlformats.org/spreadsheetml/2006/main" id="5" name="Site_Content" displayName="Site_Content" ref="A2:N100" headerRowCount="1" totalsRowCount="0" totalsRowShown="0">
  <tableColumns count="14">
    <tableColumn id="1" name="MKPL"/>
    <tableColumn id="2" name="PL"/>
    <tableColumn id="3" name="GL"/>
    <tableColumn id="4" name="Competitor Name"/>
    <tableColumn id="5" name="CMT Recommended Set-up"/>
    <tableColumn id="6" name="Start date"/>
    <tableColumn id="7" name="End date"/>
    <tableColumn id="8" name="Competitor URL"/>
    <tableColumn id="9" name="Promo code"/>
    <tableColumn id="10" name="Offer Details"/>
    <tableColumn id="11" name="TT Link"/>
    <tableColumn id="12" name="Can be matched ? "/>
    <tableColumn id="13" name="Rebate type"/>
    <tableColumn id="14" name="Reason/Comment"/>
  </tableColumns>
</table>
</file>

<file path=xl/worksheets/_rels/sheet2.xml.rels><?xml version="1.0" encoding="UTF-8"?>
<Relationships xmlns="http://schemas.openxmlformats.org/package/2006/relationships"><Relationship Id="rId1" Type="http://schemas.openxmlformats.org/officeDocument/2006/relationships/drawing" Target="../drawings/drawing1.xm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hyperlink" Target="https://t.corp.amazon.com/P68478343" TargetMode="External"/><Relationship Id="rId3" Type="http://schemas.openxmlformats.org/officeDocument/2006/relationships/hyperlink" Target="https://www.worten.es/ofertas-promociones/grandes-electrodomesticos/de-aeg" TargetMode="External"/><Relationship Id="rId4" Type="http://schemas.openxmlformats.org/officeDocument/2006/relationships/hyperlink" Target="https://www.jbhifi.com.au/pages/clickfrenzy" TargetMode="External"/><Relationship Id="rId5" Type="http://schemas.openxmlformats.org/officeDocument/2006/relationships/hyperlink" Target="https://epi-fe.aka.amazon.com/vibe" TargetMode="External"/><Relationship Id="rId6" Type="http://schemas.openxmlformats.org/officeDocument/2006/relationships/hyperlink" Target="https://t.corp.amazon.com/D52286448" TargetMode="External"/><Relationship Id="rId7" Type="http://schemas.openxmlformats.org/officeDocument/2006/relationships/drawing" Target="../drawings/drawing2.xml"/><Relationship Id="rId8" Type="http://schemas.openxmlformats.org/officeDocument/2006/relationships/vmlDrawing" Target="../drawings/vmlDrawing1.vml"/><Relationship Id="rId9" Type="http://schemas.openxmlformats.org/officeDocument/2006/relationships/table" Target="../tables/table2.xml"/>
</Relationships>
</file>

<file path=xl/worksheets/_rels/sheet4.xml.rels><?xml version="1.0" encoding="UTF-8"?>
<Relationships xmlns="http://schemas.openxmlformats.org/package/2006/relationships"><Relationship Id="rId1" Type="http://schemas.openxmlformats.org/officeDocument/2006/relationships/hyperlink" Target="https://t.corp.amazon.com/V647196898" TargetMode="External"/><Relationship Id="rId2" Type="http://schemas.openxmlformats.org/officeDocument/2006/relationships/hyperlink" Target="https://t.corp.amazon.com/V647241086" TargetMode="External"/><Relationship Id="rId3" Type="http://schemas.openxmlformats.org/officeDocument/2006/relationships/hyperlink" Target="https://t.corp.amazon.com/D52286448" TargetMode="External"/><Relationship Id="rId4" Type="http://schemas.openxmlformats.org/officeDocument/2006/relationships/drawing" Target="../drawings/drawing3.xml"/>
</Relationships>
</file>

<file path=xl/worksheets/_rels/sheet5.xml.rels><?xml version="1.0" encoding="UTF-8"?>
<Relationships xmlns="http://schemas.openxmlformats.org/package/2006/relationships"><Relationship Id="rId1" Type="http://schemas.openxmlformats.org/officeDocument/2006/relationships/hyperlink" Target="https://epi-eu.aka.amazon.com/vibe" TargetMode="External"/><Relationship Id="rId2" Type="http://schemas.openxmlformats.org/officeDocument/2006/relationships/hyperlink" Target="https://epi-eu.aka.amazon.com/vibe" TargetMode="External"/><Relationship Id="rId3" Type="http://schemas.openxmlformats.org/officeDocument/2006/relationships/hyperlink" Target="https://epi-eu.aka.amazon.com/vibe" TargetMode="External"/><Relationship Id="rId4" Type="http://schemas.openxmlformats.org/officeDocument/2006/relationships/hyperlink" Target="https://epi-eu.aka.amazon.com/vibe" TargetMode="External"/><Relationship Id="rId5" Type="http://schemas.openxmlformats.org/officeDocument/2006/relationships/hyperlink" Target="https://epi-na.aka.amazon.com/vibe" TargetMode="External"/><Relationship Id="rId6" Type="http://schemas.openxmlformats.org/officeDocument/2006/relationships/hyperlink" Target="https://t.corp.amazon.com/D49296757" TargetMode="External"/><Relationship Id="rId7" Type="http://schemas.openxmlformats.org/officeDocument/2006/relationships/hyperlink" Target="https://t.corp.amazon.com/D50562204" TargetMode="External"/><Relationship Id="rId8" Type="http://schemas.openxmlformats.org/officeDocument/2006/relationships/hyperlink" Target="https://epi-fe.aka.amazon.com/vibe" TargetMode="External"/><Relationship Id="rId9" Type="http://schemas.openxmlformats.org/officeDocument/2006/relationships/hyperlink" Target="https://t.corp.amazon.com/D49194775" TargetMode="External"/><Relationship Id="rId10" Type="http://schemas.openxmlformats.org/officeDocument/2006/relationships/hyperlink" Target="https://t.corp.amazon.com/D51731509" TargetMode="External"/><Relationship Id="rId11" Type="http://schemas.openxmlformats.org/officeDocument/2006/relationships/hyperlink" Target="https://t.corp.amazon.com/D51941711" TargetMode="External"/><Relationship Id="rId12" Type="http://schemas.openxmlformats.org/officeDocument/2006/relationships/hyperlink" Target="https://t.corp.amazon.com/D52027819" TargetMode="External"/><Relationship Id="rId13" Type="http://schemas.openxmlformats.org/officeDocument/2006/relationships/hyperlink" Target="https://t.corp.amazon.com/D52028207" TargetMode="External"/><Relationship Id="rId14" Type="http://schemas.openxmlformats.org/officeDocument/2006/relationships/hyperlink" Target="https://t.corp.amazon.com/P68318301" TargetMode="External"/><Relationship Id="rId15" Type="http://schemas.openxmlformats.org/officeDocument/2006/relationships/hyperlink" Target="https://t.corp.amazon.com/D52226729" TargetMode="External"/><Relationship Id="rId16" Type="http://schemas.openxmlformats.org/officeDocument/2006/relationships/hyperlink" Target="https://t.corp.amazon.com/D52226785" TargetMode="External"/><Relationship Id="rId17" Type="http://schemas.openxmlformats.org/officeDocument/2006/relationships/hyperlink" Target="https://t.corp.amazon.com/D51955971" TargetMode="External"/><Relationship Id="rId18" Type="http://schemas.openxmlformats.org/officeDocument/2006/relationships/hyperlink" Target="https://t.corp.amazon.com/D52037879" TargetMode="External"/><Relationship Id="rId19" Type="http://schemas.openxmlformats.org/officeDocument/2006/relationships/hyperlink" Target="https://t.corp.amazon.com/D50859791" TargetMode="External"/><Relationship Id="rId20" Type="http://schemas.openxmlformats.org/officeDocument/2006/relationships/hyperlink" Target="https://t.corp.amazon.com/D50274288" TargetMode="External"/><Relationship Id="rId21" Type="http://schemas.openxmlformats.org/officeDocument/2006/relationships/hyperlink" Target="https://t.corp.amazon.com/D49397430" TargetMode="External"/><Relationship Id="rId22" Type="http://schemas.openxmlformats.org/officeDocument/2006/relationships/hyperlink" Target="https://t.corp.amazon.com/D48615372" TargetMode="External"/><Relationship Id="rId23" Type="http://schemas.openxmlformats.org/officeDocument/2006/relationships/hyperlink" Target="https://t.corp.amazon.com/D50405856" TargetMode="External"/><Relationship Id="rId24" Type="http://schemas.openxmlformats.org/officeDocument/2006/relationships/hyperlink" Target="https://t.corp.amazon.com/D50800742" TargetMode="External"/><Relationship Id="rId25" Type="http://schemas.openxmlformats.org/officeDocument/2006/relationships/hyperlink" Target="https://t.corp.amazon.com/D51396850" TargetMode="External"/><Relationship Id="rId26" Type="http://schemas.openxmlformats.org/officeDocument/2006/relationships/hyperlink" Target="https://t.corp.amazon.com/D52089593" TargetMode="External"/><Relationship Id="rId27" Type="http://schemas.openxmlformats.org/officeDocument/2006/relationships/hyperlink" Target="https://t.corp.amazon.com/D49491517" TargetMode="External"/><Relationship Id="rId28" Type="http://schemas.openxmlformats.org/officeDocument/2006/relationships/hyperlink" Target="https://t.corp.amazon.com/V648732071" TargetMode="External"/><Relationship Id="rId29" Type="http://schemas.openxmlformats.org/officeDocument/2006/relationships/hyperlink" Target="https://t.corp.amazon.com/P68478343" TargetMode="External"/><Relationship Id="rId30" Type="http://schemas.openxmlformats.org/officeDocument/2006/relationships/drawing" Target="../drawings/drawing4.xml"/>
</Relationships>
</file>

<file path=xl/worksheets/_rels/sheet6.xml.rels><?xml version="1.0" encoding="UTF-8"?>
<Relationships xmlns="http://schemas.openxmlformats.org/package/2006/relationships"><Relationship Id="rId1" Type="http://schemas.openxmlformats.org/officeDocument/2006/relationships/drawing" Target="../drawings/drawing5.xml"/>
</Relationships>
</file>

<file path=xl/worksheets/_rels/sheet7.xml.rels><?xml version="1.0" encoding="UTF-8"?>
<Relationships xmlns="http://schemas.openxmlformats.org/package/2006/relationships"><Relationship Id="rId1" Type="http://schemas.openxmlformats.org/officeDocument/2006/relationships/drawing" Target="../drawings/drawing6.xml"/><Relationship Id="rId2" Type="http://schemas.openxmlformats.org/officeDocument/2006/relationships/pivotTable" Target="../pivotTables/pivotTable1.xml"/>
</Relationships>
</file>

<file path=xl/worksheets/_rels/sheet8.xml.rels><?xml version="1.0" encoding="UTF-8"?>
<Relationships xmlns="http://schemas.openxmlformats.org/package/2006/relationships"><Relationship Id="rId1" Type="http://schemas.openxmlformats.org/officeDocument/2006/relationships/hyperlink" Target="https://www.paodeacucar.com/" TargetMode="External"/><Relationship Id="rId2" Type="http://schemas.openxmlformats.org/officeDocument/2006/relationships/hyperlink" Target="https://www.mercadolivre.com.br/" TargetMode="External"/><Relationship Id="rId3" Type="http://schemas.openxmlformats.org/officeDocument/2006/relationships/hyperlink" Target="https://www.livrariacultura.com.br/" TargetMode="External"/><Relationship Id="rId4" Type="http://schemas.openxmlformats.org/officeDocument/2006/relationships/hyperlink" Target="https://www.samsung.com/br/" TargetMode="External"/><Relationship Id="rId5" Type="http://schemas.openxmlformats.org/officeDocument/2006/relationships/hyperlink" Target="https://www.fastshop.com.br/web/" TargetMode="External"/><Relationship Id="rId6" Type="http://schemas.openxmlformats.org/officeDocument/2006/relationships/hyperlink" Target="https://www.dafiti.com.br/" TargetMode="External"/><Relationship Id="rId7" Type="http://schemas.openxmlformats.org/officeDocument/2006/relationships/hyperlink" Target="https://www.casasbahia.com.br/" TargetMode="External"/><Relationship Id="rId8" Type="http://schemas.openxmlformats.org/officeDocument/2006/relationships/hyperlink" Target="https://www.shoptime.com.br/" TargetMode="External"/><Relationship Id="rId9" Type="http://schemas.openxmlformats.org/officeDocument/2006/relationships/hyperlink" Target="https://www.extra.com.br/" TargetMode="External"/><Relationship Id="rId10" Type="http://schemas.openxmlformats.org/officeDocument/2006/relationships/hyperlink" Target="https://www.pontofrio.com.br/" TargetMode="External"/><Relationship Id="rId11" Type="http://schemas.openxmlformats.org/officeDocument/2006/relationships/hyperlink" Target="https://www.carrefour.com.br/" TargetMode="External"/><Relationship Id="rId12" Type="http://schemas.openxmlformats.org/officeDocument/2006/relationships/hyperlink" Target="https://www.drogaraia.com.br/" TargetMode="External"/><Relationship Id="rId13" Type="http://schemas.openxmlformats.org/officeDocument/2006/relationships/hyperlink" Target="https://www.livrariascuritiba.com.br/" TargetMode="External"/><Relationship Id="rId14" Type="http://schemas.openxmlformats.org/officeDocument/2006/relationships/hyperlink" Target="https://www.kabum.com.br/" TargetMode="External"/><Relationship Id="rId15" Type="http://schemas.openxmlformats.org/officeDocument/2006/relationships/hyperlink" Target="https://www.netshoes.com.br/" TargetMode="External"/><Relationship Id="rId16" Type="http://schemas.openxmlformats.org/officeDocument/2006/relationships/hyperlink" Target="https://www.travessa.com.br/" TargetMode="External"/><Relationship Id="rId17" Type="http://schemas.openxmlformats.org/officeDocument/2006/relationships/hyperlink" Target="https://www.rihappy.com.br/" TargetMode="External"/><Relationship Id="rId18" Type="http://schemas.openxmlformats.org/officeDocument/2006/relationships/hyperlink" Target="https://www.netshoes.com.br/" TargetMode="External"/><Relationship Id="rId19" Type="http://schemas.openxmlformats.org/officeDocument/2006/relationships/hyperlink" Target="https://www.leroymerlin.com.br/" TargetMode="External"/><Relationship Id="rId20" Type="http://schemas.openxmlformats.org/officeDocument/2006/relationships/hyperlink" Target="https://www.americanas.com.br/" TargetMode="External"/><Relationship Id="rId21" Type="http://schemas.openxmlformats.org/officeDocument/2006/relationships/hyperlink" Target="https://www.submarino.com.br/" TargetMode="External"/><Relationship Id="rId22" Type="http://schemas.openxmlformats.org/officeDocument/2006/relationships/drawing" Target="../drawings/drawing7.xml"/>
</Relationships>
</file>

<file path=xl/worksheets/_rels/sheet9.xml.rels><?xml version="1.0" encoding="UTF-8"?>
<Relationships xmlns="http://schemas.openxmlformats.org/package/2006/relationships"><Relationship Id="rId1" Type="http://schemas.openxmlformats.org/officeDocument/2006/relationships/drawing" Target="../drawings/drawing8.xml"/>
</Relationships>
</file>

<file path=xl/worksheets/_rels/sheet10.xml.rels><?xml version="1.0" encoding="UTF-8"?>
<Relationships xmlns="http://schemas.openxmlformats.org/package/2006/relationships"><Relationship Id="rId1" Type="http://schemas.openxmlformats.org/officeDocument/2006/relationships/drawing" Target="../drawings/drawing9.xml"/>
</Relationships>
</file>

<file path=xl/worksheets/_rels/sheet11.xml.rels><?xml version="1.0" encoding="UTF-8"?>
<Relationships xmlns="http://schemas.openxmlformats.org/package/2006/relationships"><Relationship Id="rId1" Type="http://schemas.openxmlformats.org/officeDocument/2006/relationships/drawing" Target="../drawings/drawing10.xml"/>
</Relationships>
</file>

<file path=xl/worksheets/_rels/sheet12.xml.rels><?xml version="1.0" encoding="UTF-8"?>
<Relationships xmlns="http://schemas.openxmlformats.org/package/2006/relationships"><Relationship Id="rId1" Type="http://schemas.openxmlformats.org/officeDocument/2006/relationships/drawing" Target="../drawings/drawing11.xml"/><Relationship Id="rId2" Type="http://schemas.openxmlformats.org/officeDocument/2006/relationships/table" Target="../tables/table1.xml"/>
</Relationships>
</file>

<file path=xl/worksheets/_rels/sheet13.xml.rels><?xml version="1.0" encoding="UTF-8"?>
<Relationships xmlns="http://schemas.openxmlformats.org/package/2006/relationships"><Relationship Id="rId1" Type="http://schemas.openxmlformats.org/officeDocument/2006/relationships/drawing" Target="../drawings/drawing12.xml"/><Relationship Id="rId2" Type="http://schemas.openxmlformats.org/officeDocument/2006/relationships/table" Target="../tables/table4.xml"/>
</Relationships>
</file>

<file path=xl/worksheets/_rels/sheet14.xml.rels><?xml version="1.0" encoding="UTF-8"?>
<Relationships xmlns="http://schemas.openxmlformats.org/package/2006/relationships"><Relationship Id="rId1" Type="http://schemas.openxmlformats.org/officeDocument/2006/relationships/drawing" Target="../drawings/drawing13.xml"/><Relationship Id="rId2" Type="http://schemas.openxmlformats.org/officeDocument/2006/relationships/table" Target="../tables/table5.xml"/>
</Relationships>
</file>

<file path=xl/worksheets/_rels/sheet15.xml.rels><?xml version="1.0" encoding="UTF-8"?>
<Relationships xmlns="http://schemas.openxmlformats.org/package/2006/relationships"><Relationship Id="rId1" Type="http://schemas.openxmlformats.org/officeDocument/2006/relationships/drawing" Target="../drawings/drawing14.xml"/><Relationship Id="rId2" Type="http://schemas.openxmlformats.org/officeDocument/2006/relationships/table" Target="../tables/table3.xml"/>
</Relationships>
</file>

<file path=xl/worksheets/_rels/sheet16.xml.rels><?xml version="1.0" encoding="UTF-8"?>
<Relationships xmlns="http://schemas.openxmlformats.org/package/2006/relationships"><Relationship Id="rId1" Type="http://schemas.openxmlformats.org/officeDocument/2006/relationships/drawing" Target="../drawings/drawing15.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F28"/>
  <sheetViews>
    <sheetView showFormulas="false" showGridLines="true" showRowColHeaders="true" showZeros="true" rightToLeft="false" tabSelected="false" showOutlineSymbols="true" defaultGridColor="true" view="normal" topLeftCell="A10" colorId="64" zoomScale="100" zoomScaleNormal="100" zoomScalePageLayoutView="100" workbookViewId="0">
      <selection pane="topLeft" activeCell="N24" activeCellId="1" sqref="4:8 N24"/>
    </sheetView>
  </sheetViews>
  <sheetFormatPr defaultColWidth="8.54296875" defaultRowHeight="14.25" zeroHeight="false" outlineLevelRow="0" outlineLevelCol="0"/>
  <sheetData>
    <row r="1" customFormat="false" ht="14.25" hidden="false" customHeight="false" outlineLevel="0" collapsed="false">
      <c r="A1" s="1" t="s">
        <v>0</v>
      </c>
      <c r="B1" s="1" t="s">
        <v>1</v>
      </c>
      <c r="C1" s="1" t="s">
        <v>2</v>
      </c>
      <c r="D1" s="1" t="s">
        <v>3</v>
      </c>
      <c r="E1" s="1" t="s">
        <v>4</v>
      </c>
      <c r="F1" s="2" t="s">
        <v>5</v>
      </c>
    </row>
    <row r="2" customFormat="false" ht="14.25" hidden="false" customHeight="false" outlineLevel="0" collapsed="false">
      <c r="A2" s="1" t="n">
        <v>111172</v>
      </c>
      <c r="B2" s="1" t="s">
        <v>6</v>
      </c>
      <c r="C2" s="1" t="s">
        <v>7</v>
      </c>
      <c r="D2" s="1" t="s">
        <v>8</v>
      </c>
      <c r="E2" s="1" t="s">
        <v>9</v>
      </c>
      <c r="F2" s="2" t="s">
        <v>10</v>
      </c>
    </row>
    <row r="3" customFormat="false" ht="14.25" hidden="false" customHeight="false" outlineLevel="0" collapsed="false">
      <c r="A3" s="1" t="n">
        <v>111172</v>
      </c>
      <c r="B3" s="1" t="s">
        <v>6</v>
      </c>
      <c r="C3" s="1" t="s">
        <v>11</v>
      </c>
      <c r="D3" s="1" t="s">
        <v>8</v>
      </c>
      <c r="E3" s="1" t="s">
        <v>12</v>
      </c>
      <c r="F3" s="2" t="s">
        <v>10</v>
      </c>
    </row>
    <row r="4" customFormat="false" ht="14.25" hidden="false" customHeight="false" outlineLevel="0" collapsed="false">
      <c r="A4" s="1" t="n">
        <v>111172</v>
      </c>
      <c r="B4" s="1" t="s">
        <v>6</v>
      </c>
      <c r="C4" s="1" t="s">
        <v>13</v>
      </c>
      <c r="D4" s="1" t="s">
        <v>8</v>
      </c>
      <c r="E4" s="1" t="s">
        <v>14</v>
      </c>
      <c r="F4" s="2" t="s">
        <v>10</v>
      </c>
    </row>
    <row r="5" customFormat="false" ht="14.25" hidden="false" customHeight="false" outlineLevel="0" collapsed="false">
      <c r="A5" s="1" t="n">
        <v>111172</v>
      </c>
      <c r="B5" s="1" t="s">
        <v>6</v>
      </c>
      <c r="C5" s="1" t="s">
        <v>15</v>
      </c>
      <c r="D5" s="1" t="s">
        <v>8</v>
      </c>
      <c r="E5" s="1" t="s">
        <v>16</v>
      </c>
      <c r="F5" s="2" t="s">
        <v>10</v>
      </c>
    </row>
    <row r="6" customFormat="false" ht="14.25" hidden="false" customHeight="false" outlineLevel="0" collapsed="false">
      <c r="A6" s="1" t="n">
        <v>111172</v>
      </c>
      <c r="B6" s="1" t="s">
        <v>6</v>
      </c>
      <c r="C6" s="1" t="s">
        <v>17</v>
      </c>
      <c r="D6" s="1" t="s">
        <v>8</v>
      </c>
      <c r="E6" s="1" t="s">
        <v>18</v>
      </c>
      <c r="F6" s="2" t="s">
        <v>10</v>
      </c>
    </row>
    <row r="7" customFormat="false" ht="14.25" hidden="false" customHeight="false" outlineLevel="0" collapsed="false">
      <c r="A7" s="1" t="n">
        <v>111172</v>
      </c>
      <c r="B7" s="1" t="s">
        <v>6</v>
      </c>
      <c r="C7" s="1" t="s">
        <v>19</v>
      </c>
      <c r="D7" s="1" t="s">
        <v>8</v>
      </c>
      <c r="E7" s="1" t="s">
        <v>20</v>
      </c>
      <c r="F7" s="2" t="s">
        <v>10</v>
      </c>
    </row>
    <row r="8" customFormat="false" ht="14.25" hidden="false" customHeight="false" outlineLevel="0" collapsed="false">
      <c r="A8" s="1" t="n">
        <v>111172</v>
      </c>
      <c r="B8" s="1" t="s">
        <v>6</v>
      </c>
      <c r="C8" s="1" t="s">
        <v>21</v>
      </c>
      <c r="D8" s="1" t="s">
        <v>8</v>
      </c>
      <c r="E8" s="1" t="s">
        <v>22</v>
      </c>
      <c r="F8" s="2" t="s">
        <v>10</v>
      </c>
    </row>
    <row r="9" customFormat="false" ht="14.25" hidden="false" customHeight="false" outlineLevel="0" collapsed="false">
      <c r="A9" s="1" t="n">
        <v>111172</v>
      </c>
      <c r="B9" s="1" t="s">
        <v>6</v>
      </c>
      <c r="C9" s="1" t="s">
        <v>23</v>
      </c>
      <c r="D9" s="1" t="s">
        <v>8</v>
      </c>
      <c r="E9" s="1" t="s">
        <v>24</v>
      </c>
      <c r="F9" s="2" t="s">
        <v>10</v>
      </c>
    </row>
    <row r="10" customFormat="false" ht="14.25" hidden="false" customHeight="false" outlineLevel="0" collapsed="false">
      <c r="A10" s="1" t="n">
        <v>111172</v>
      </c>
      <c r="B10" s="1" t="s">
        <v>6</v>
      </c>
      <c r="C10" s="1" t="s">
        <v>25</v>
      </c>
      <c r="D10" s="1" t="s">
        <v>8</v>
      </c>
      <c r="E10" s="1" t="s">
        <v>26</v>
      </c>
      <c r="F10" s="2" t="s">
        <v>10</v>
      </c>
    </row>
    <row r="11" customFormat="false" ht="14.25" hidden="false" customHeight="false" outlineLevel="0" collapsed="false">
      <c r="A11" s="1" t="n">
        <v>111172</v>
      </c>
      <c r="B11" s="1" t="s">
        <v>6</v>
      </c>
      <c r="C11" s="1" t="s">
        <v>27</v>
      </c>
      <c r="D11" s="1" t="s">
        <v>8</v>
      </c>
      <c r="E11" s="1" t="s">
        <v>28</v>
      </c>
      <c r="F11" s="2" t="s">
        <v>10</v>
      </c>
    </row>
    <row r="12" customFormat="false" ht="14.25" hidden="false" customHeight="false" outlineLevel="0" collapsed="false">
      <c r="A12" s="1" t="n">
        <v>111172</v>
      </c>
      <c r="B12" s="1" t="s">
        <v>6</v>
      </c>
      <c r="C12" s="1" t="s">
        <v>29</v>
      </c>
      <c r="D12" s="1" t="s">
        <v>8</v>
      </c>
      <c r="E12" s="1" t="s">
        <v>30</v>
      </c>
      <c r="F12" s="2" t="s">
        <v>10</v>
      </c>
    </row>
    <row r="13" customFormat="false" ht="14.25" hidden="false" customHeight="false" outlineLevel="0" collapsed="false">
      <c r="A13" s="1" t="n">
        <v>111172</v>
      </c>
      <c r="B13" s="1" t="s">
        <v>6</v>
      </c>
      <c r="C13" s="1" t="s">
        <v>31</v>
      </c>
      <c r="D13" s="1" t="s">
        <v>8</v>
      </c>
      <c r="E13" s="1" t="s">
        <v>32</v>
      </c>
      <c r="F13" s="2" t="s">
        <v>10</v>
      </c>
    </row>
    <row r="14" customFormat="false" ht="14.25" hidden="false" customHeight="false" outlineLevel="0" collapsed="false">
      <c r="A14" s="1" t="n">
        <v>111172</v>
      </c>
      <c r="B14" s="1" t="s">
        <v>6</v>
      </c>
      <c r="C14" s="1" t="s">
        <v>33</v>
      </c>
      <c r="D14" s="1" t="s">
        <v>8</v>
      </c>
      <c r="E14" s="1" t="s">
        <v>34</v>
      </c>
      <c r="F14" s="2" t="s">
        <v>10</v>
      </c>
    </row>
    <row r="15" customFormat="false" ht="14.25" hidden="false" customHeight="false" outlineLevel="0" collapsed="false">
      <c r="A15" s="1" t="n">
        <v>111172</v>
      </c>
      <c r="B15" s="1" t="s">
        <v>6</v>
      </c>
      <c r="C15" s="1" t="s">
        <v>35</v>
      </c>
      <c r="D15" s="1" t="s">
        <v>8</v>
      </c>
      <c r="E15" s="1" t="s">
        <v>36</v>
      </c>
      <c r="F15" s="2" t="s">
        <v>10</v>
      </c>
    </row>
    <row r="16" customFormat="false" ht="14.25" hidden="false" customHeight="false" outlineLevel="0" collapsed="false">
      <c r="A16" s="1" t="n">
        <v>111172</v>
      </c>
      <c r="B16" s="1" t="s">
        <v>6</v>
      </c>
      <c r="C16" s="1" t="s">
        <v>37</v>
      </c>
      <c r="D16" s="1" t="s">
        <v>8</v>
      </c>
      <c r="E16" s="1" t="s">
        <v>38</v>
      </c>
      <c r="F16" s="2" t="s">
        <v>10</v>
      </c>
    </row>
    <row r="17" customFormat="false" ht="14.25" hidden="false" customHeight="false" outlineLevel="0" collapsed="false">
      <c r="A17" s="1" t="n">
        <v>111172</v>
      </c>
      <c r="B17" s="1" t="s">
        <v>6</v>
      </c>
      <c r="C17" s="1" t="s">
        <v>39</v>
      </c>
      <c r="D17" s="1" t="s">
        <v>8</v>
      </c>
      <c r="E17" s="1" t="s">
        <v>40</v>
      </c>
      <c r="F17" s="2" t="s">
        <v>10</v>
      </c>
    </row>
    <row r="18" customFormat="false" ht="14.25" hidden="false" customHeight="false" outlineLevel="0" collapsed="false">
      <c r="A18" s="1" t="n">
        <v>111172</v>
      </c>
      <c r="B18" s="1" t="s">
        <v>6</v>
      </c>
      <c r="C18" s="1" t="s">
        <v>41</v>
      </c>
      <c r="D18" s="1" t="s">
        <v>8</v>
      </c>
      <c r="E18" s="1" t="s">
        <v>42</v>
      </c>
      <c r="F18" s="2" t="s">
        <v>10</v>
      </c>
    </row>
    <row r="19" customFormat="false" ht="14.25" hidden="false" customHeight="false" outlineLevel="0" collapsed="false">
      <c r="A19" s="1" t="n">
        <v>111172</v>
      </c>
      <c r="B19" s="1" t="s">
        <v>6</v>
      </c>
      <c r="C19" s="1" t="s">
        <v>43</v>
      </c>
      <c r="D19" s="1" t="s">
        <v>8</v>
      </c>
      <c r="E19" s="1" t="s">
        <v>44</v>
      </c>
      <c r="F19" s="2" t="s">
        <v>10</v>
      </c>
    </row>
    <row r="20" customFormat="false" ht="14.25" hidden="false" customHeight="false" outlineLevel="0" collapsed="false">
      <c r="A20" s="1" t="n">
        <v>111172</v>
      </c>
      <c r="B20" s="1" t="s">
        <v>6</v>
      </c>
      <c r="C20" s="1" t="s">
        <v>45</v>
      </c>
      <c r="D20" s="1" t="s">
        <v>8</v>
      </c>
      <c r="E20" s="1" t="s">
        <v>46</v>
      </c>
      <c r="F20" s="2" t="s">
        <v>10</v>
      </c>
    </row>
    <row r="21" customFormat="false" ht="14.25" hidden="false" customHeight="false" outlineLevel="0" collapsed="false">
      <c r="A21" s="1" t="n">
        <v>111172</v>
      </c>
      <c r="B21" s="1" t="s">
        <v>6</v>
      </c>
      <c r="C21" s="1" t="s">
        <v>47</v>
      </c>
      <c r="D21" s="1" t="s">
        <v>8</v>
      </c>
      <c r="E21" s="1" t="s">
        <v>48</v>
      </c>
      <c r="F21" s="2" t="s">
        <v>10</v>
      </c>
    </row>
    <row r="22" customFormat="false" ht="14.25" hidden="false" customHeight="false" outlineLevel="0" collapsed="false">
      <c r="A22" s="1" t="n">
        <v>104444012</v>
      </c>
      <c r="B22" s="1" t="s">
        <v>49</v>
      </c>
      <c r="C22" s="1" t="s">
        <v>50</v>
      </c>
      <c r="D22" s="1" t="s">
        <v>8</v>
      </c>
      <c r="E22" s="1" t="s">
        <v>51</v>
      </c>
      <c r="F22" s="2" t="s">
        <v>10</v>
      </c>
    </row>
    <row r="23" customFormat="false" ht="14.25" hidden="false" customHeight="false" outlineLevel="0" collapsed="false">
      <c r="A23" s="1" t="n">
        <v>104444012</v>
      </c>
      <c r="B23" s="1" t="s">
        <v>49</v>
      </c>
      <c r="C23" s="1" t="s">
        <v>52</v>
      </c>
      <c r="D23" s="1" t="s">
        <v>8</v>
      </c>
      <c r="E23" s="1" t="s">
        <v>53</v>
      </c>
      <c r="F23" s="2" t="s">
        <v>10</v>
      </c>
    </row>
    <row r="24" customFormat="false" ht="14.25" hidden="false" customHeight="false" outlineLevel="0" collapsed="false">
      <c r="A24" s="1" t="n">
        <v>104444012</v>
      </c>
      <c r="B24" s="1" t="s">
        <v>49</v>
      </c>
      <c r="C24" s="1" t="s">
        <v>54</v>
      </c>
      <c r="D24" s="1" t="s">
        <v>8</v>
      </c>
      <c r="E24" s="1" t="s">
        <v>55</v>
      </c>
      <c r="F24" s="2" t="s">
        <v>10</v>
      </c>
    </row>
    <row r="25" customFormat="false" ht="14.25" hidden="false" customHeight="false" outlineLevel="0" collapsed="false">
      <c r="A25" s="1" t="n">
        <v>104444012</v>
      </c>
      <c r="B25" s="1" t="s">
        <v>49</v>
      </c>
      <c r="C25" s="1" t="s">
        <v>56</v>
      </c>
      <c r="D25" s="1" t="s">
        <v>8</v>
      </c>
      <c r="E25" s="1" t="s">
        <v>57</v>
      </c>
      <c r="F25" s="2" t="s">
        <v>10</v>
      </c>
    </row>
    <row r="26" customFormat="false" ht="14.25" hidden="false" customHeight="false" outlineLevel="0" collapsed="false">
      <c r="A26" s="1" t="n">
        <v>104444012</v>
      </c>
      <c r="B26" s="1" t="s">
        <v>49</v>
      </c>
      <c r="C26" s="1" t="s">
        <v>58</v>
      </c>
      <c r="D26" s="1" t="s">
        <v>8</v>
      </c>
      <c r="E26" s="1" t="s">
        <v>59</v>
      </c>
      <c r="F26" s="2" t="s">
        <v>10</v>
      </c>
    </row>
    <row r="27" customFormat="false" ht="14.25" hidden="false" customHeight="false" outlineLevel="0" collapsed="false">
      <c r="A27" s="1" t="n">
        <v>104444012</v>
      </c>
      <c r="B27" s="1" t="s">
        <v>49</v>
      </c>
      <c r="C27" s="1" t="s">
        <v>60</v>
      </c>
      <c r="D27" s="1" t="s">
        <v>8</v>
      </c>
      <c r="E27" s="1" t="s">
        <v>61</v>
      </c>
      <c r="F27" s="2" t="s">
        <v>10</v>
      </c>
    </row>
    <row r="28" customFormat="false" ht="14.25" hidden="false" customHeight="false" outlineLevel="0" collapsed="false">
      <c r="A28" s="1" t="n">
        <v>104444012</v>
      </c>
      <c r="B28" s="1" t="s">
        <v>49</v>
      </c>
      <c r="C28" s="1" t="s">
        <v>62</v>
      </c>
      <c r="D28" s="1" t="s">
        <v>8</v>
      </c>
      <c r="E28" s="1" t="s">
        <v>63</v>
      </c>
      <c r="F28" s="2" t="s">
        <v>10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1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C22" activeCellId="1" sqref="4:8 C22"/>
    </sheetView>
  </sheetViews>
  <sheetFormatPr defaultColWidth="8.72265625" defaultRowHeight="14.25" zeroHeight="true" outlineLevelRow="0" outlineLevelCol="0"/>
  <cols>
    <col collapsed="false" customWidth="true" hidden="false" outlineLevel="0" max="1" min="1" style="3" width="25.81"/>
    <col collapsed="false" customWidth="true" hidden="false" outlineLevel="0" max="2" min="2" style="3" width="13.82"/>
    <col collapsed="false" customWidth="true" hidden="false" outlineLevel="0" max="3" min="3" style="4" width="66.27"/>
    <col collapsed="false" customWidth="false" hidden="false" outlineLevel="0" max="4" min="4" style="5" width="8.72"/>
    <col collapsed="false" customWidth="true" hidden="false" outlineLevel="0" max="6" min="5" style="5" width="11.27"/>
    <col collapsed="false" customWidth="true" hidden="false" outlineLevel="0" max="7" min="7" style="5" width="10.72"/>
    <col collapsed="false" customWidth="true" hidden="false" outlineLevel="0" max="8" min="8" style="5" width="6.73"/>
    <col collapsed="false" customWidth="false" hidden="false" outlineLevel="0" max="10" min="9" style="5" width="8.72"/>
    <col collapsed="false" customWidth="false" hidden="true" outlineLevel="0" max="1024" min="11" style="3" width="8.72"/>
  </cols>
  <sheetData>
    <row r="1" customFormat="false" ht="45" hidden="false" customHeight="true" outlineLevel="0" collapsed="false">
      <c r="A1" s="6"/>
      <c r="B1" s="7"/>
      <c r="C1" s="7"/>
      <c r="D1" s="8"/>
      <c r="E1" s="8"/>
      <c r="F1" s="8"/>
      <c r="G1" s="8"/>
      <c r="H1" s="8"/>
      <c r="I1" s="8"/>
      <c r="J1" s="8"/>
    </row>
    <row r="2" customFormat="false" ht="14.25" hidden="false" customHeight="false" outlineLevel="0" collapsed="false">
      <c r="A2" s="9" t="s">
        <v>2</v>
      </c>
      <c r="B2" s="10" t="s">
        <v>64</v>
      </c>
      <c r="C2" s="11" t="s">
        <v>65</v>
      </c>
      <c r="D2" s="12"/>
      <c r="E2" s="13"/>
      <c r="F2" s="13"/>
      <c r="G2" s="14"/>
      <c r="H2" s="15"/>
      <c r="I2" s="15"/>
      <c r="J2" s="15"/>
    </row>
    <row r="3" customFormat="false" ht="14.25" hidden="false" customHeight="false" outlineLevel="0" collapsed="false">
      <c r="A3" s="16" t="s">
        <v>66</v>
      </c>
      <c r="B3" s="17" t="str">
        <f aca="false">_xlfn.IFNA(IF(A3 = "", "", VLOOKUP(A3,'NBB Competitor list'!$C$3:$E$2000, 3, 0)), "")</f>
        <v>SIC</v>
      </c>
      <c r="C3" s="18" t="str">
        <f aca="false">_xlfn.IFNA(IF(A3 = "", "", VLOOKUP(A3,'NBB Competitor list'!$C$3:$E$2000, 2, 0)), "Not In NBB Competitor List Please Update!!")</f>
        <v>en-ae.namshi.com</v>
      </c>
      <c r="D3" s="19"/>
      <c r="E3" s="20" t="s">
        <v>67</v>
      </c>
      <c r="F3" s="20" t="s">
        <v>68</v>
      </c>
      <c r="G3" s="21"/>
    </row>
    <row r="4" customFormat="false" ht="14.25" hidden="false" customHeight="false" outlineLevel="0" collapsed="false">
      <c r="A4" s="16" t="s">
        <v>69</v>
      </c>
      <c r="B4" s="17" t="str">
        <f aca="false">_xlfn.IFNA(IF(A4 = "", "", VLOOKUP(A4,'NBB Competitor list'!$C$3:$E$2000, 3, 0)), "")</f>
        <v>SIC</v>
      </c>
      <c r="C4" s="18" t="str">
        <f aca="false">_xlfn.IFNA(IF(A4 = "", "", VLOOKUP(A4,'NBB Competitor list'!$C$3:$E$2000, 2, 0)), "Not In NBB Competitor List Please Update!!")</f>
        <v>mumzworld.com</v>
      </c>
      <c r="D4" s="19"/>
      <c r="E4" s="22" t="s">
        <v>70</v>
      </c>
      <c r="F4" s="22" t="n">
        <f aca="false">COUNTIF(B3:B101, "SIC")</f>
        <v>8</v>
      </c>
      <c r="G4" s="21"/>
    </row>
    <row r="5" customFormat="false" ht="14.25" hidden="false" customHeight="false" outlineLevel="0" collapsed="false">
      <c r="A5" s="16" t="s">
        <v>71</v>
      </c>
      <c r="B5" s="17" t="str">
        <f aca="false">_xlfn.IFNA(IF(A5 = "", "", VLOOKUP(A5,'NBB Competitor list'!$C$3:$E$2000, 3, 0)), "")</f>
        <v>SIC</v>
      </c>
      <c r="C5" s="18" t="str">
        <f aca="false">_xlfn.IFNA(IF(A5 = "", "", VLOOKUP(A5,'NBB Competitor list'!$C$3:$E$2000, 2, 0)), "Not In NBB Competitor List Please Update!!")</f>
        <v>https://cdon.se/</v>
      </c>
      <c r="D5" s="19"/>
      <c r="E5" s="22" t="s">
        <v>72</v>
      </c>
      <c r="F5" s="22" t="n">
        <f aca="false">COUNTIF(B3:B101, "IC")</f>
        <v>16</v>
      </c>
      <c r="G5" s="21"/>
    </row>
    <row r="6" customFormat="false" ht="14.25" hidden="false" customHeight="false" outlineLevel="0" collapsed="false">
      <c r="A6" s="16" t="s">
        <v>73</v>
      </c>
      <c r="B6" s="17" t="str">
        <f aca="false">_xlfn.IFNA(IF(A6 = "", "", VLOOKUP(A6,'NBB Competitor list'!$C$3:$E$2000, 3, 0)), "")</f>
        <v>SIC</v>
      </c>
      <c r="C6" s="18" t="str">
        <f aca="false">_xlfn.IFNA(IF(A6 = "", "", VLOOKUP(A6,'NBB Competitor list'!$C$3:$E$2000, 2, 0)), "Not In NBB Competitor List Please Update!!")</f>
        <v>dr.com.tr</v>
      </c>
      <c r="D6" s="21"/>
      <c r="E6" s="23" t="s">
        <v>74</v>
      </c>
      <c r="F6" s="23" t="n">
        <f aca="false">SUM(F4:F5)</f>
        <v>24</v>
      </c>
    </row>
    <row r="7" customFormat="false" ht="14.25" hidden="false" customHeight="false" outlineLevel="0" collapsed="false">
      <c r="A7" s="16" t="s">
        <v>75</v>
      </c>
      <c r="B7" s="17" t="str">
        <f aca="false">_xlfn.IFNA(IF(A7 = "", "", VLOOKUP(A7,'NBB Competitor list'!$C$3:$E$2000, 3, 0)), "")</f>
        <v>SIC</v>
      </c>
      <c r="C7" s="18" t="str">
        <f aca="false">_xlfn.IFNA(IF(A7 = "", "", VLOOKUP(A7,'NBB Competitor list'!$C$3:$E$2000, 2, 0)), "Not In NBB Competitor List Please Update!!")</f>
        <v>idefix.com</v>
      </c>
      <c r="D7" s="21"/>
      <c r="E7" s="24"/>
    </row>
    <row r="8" customFormat="false" ht="14.25" hidden="false" customHeight="false" outlineLevel="0" collapsed="false">
      <c r="A8" s="16" t="s">
        <v>76</v>
      </c>
      <c r="B8" s="17" t="str">
        <f aca="false">_xlfn.IFNA(IF(A8 = "", "", VLOOKUP(A8,'NBB Competitor list'!$C$3:$E$2000, 3, 0)), "")</f>
        <v>SIC</v>
      </c>
      <c r="C8" s="18" t="str">
        <f aca="false">_xlfn.IFNA(IF(A8 = "", "", VLOOKUP(A8,'NBB Competitor list'!$C$3:$E$2000, 2, 0)), "Not In NBB Competitor List Please Update!!")</f>
        <v>kitapyurdu.com</v>
      </c>
      <c r="D8" s="21"/>
    </row>
    <row r="9" customFormat="false" ht="14.25" hidden="false" customHeight="false" outlineLevel="0" collapsed="false">
      <c r="A9" s="16" t="s">
        <v>77</v>
      </c>
      <c r="B9" s="17" t="str">
        <f aca="false">_xlfn.IFNA(IF(A9 = "", "", VLOOKUP(A9,'NBB Competitor list'!$C$3:$E$2000, 3, 0)), "")</f>
        <v>SIC</v>
      </c>
      <c r="C9" s="18" t="str">
        <f aca="false">_xlfn.IFNA(IF(A9 = "", "", VLOOKUP(A9,'NBB Competitor list'!$C$3:$E$2000, 2, 0)), "Not In NBB Competitor List Please Update!!")</f>
        <v>migros.com.tr</v>
      </c>
      <c r="D9" s="21"/>
    </row>
    <row r="10" customFormat="false" ht="14.25" hidden="false" customHeight="false" outlineLevel="0" collapsed="false">
      <c r="A10" s="16" t="s">
        <v>78</v>
      </c>
      <c r="B10" s="17" t="str">
        <f aca="false">_xlfn.IFNA(IF(A10 = "", "", VLOOKUP(A10,'NBB Competitor list'!$C$3:$E$2000, 3, 0)), "")</f>
        <v>SIC</v>
      </c>
      <c r="C10" s="18" t="str">
        <f aca="false">_xlfn.IFNA(IF(A10 = "", "", VLOOKUP(A10,'NBB Competitor list'!$C$3:$E$2000, 2, 0)), "Not In NBB Competitor List Please Update!!")</f>
        <v>vatanbilgisayar.com</v>
      </c>
      <c r="D10" s="21"/>
    </row>
    <row r="11" customFormat="false" ht="14.25" hidden="false" customHeight="false" outlineLevel="0" collapsed="false">
      <c r="A11" s="16" t="s">
        <v>79</v>
      </c>
      <c r="B11" s="17" t="str">
        <f aca="false">_xlfn.IFNA(IF(A11 = "", "", VLOOKUP(A11,'NBB Competitor list'!$C$3:$E$2000, 3, 0)), "")</f>
        <v>IC</v>
      </c>
      <c r="C11" s="18" t="str">
        <f aca="false">_xlfn.IFNA(IF(A11 = "", "", VLOOKUP(A11,'NBB Competitor list'!$C$3:$E$2000, 2, 0)), "Not In NBB Competitor List Please Update!!")</f>
        <v>conrad.nl</v>
      </c>
      <c r="D11" s="21"/>
    </row>
    <row r="12" customFormat="false" ht="14.25" hidden="false" customHeight="false" outlineLevel="0" collapsed="false">
      <c r="A12" s="16" t="s">
        <v>80</v>
      </c>
      <c r="B12" s="17" t="str">
        <f aca="false">_xlfn.IFNA(IF(A12 = "", "", VLOOKUP(A12,'NBB Competitor list'!$C$3:$E$2000, 3, 0)), "")</f>
        <v>IC</v>
      </c>
      <c r="C12" s="18" t="str">
        <f aca="false">_xlfn.IFNA(IF(A12 = "", "", VLOOKUP(A12,'NBB Competitor list'!$C$3:$E$2000, 2, 0)), "Not In NBB Competitor List Please Update!!")</f>
        <v>blokker.nl</v>
      </c>
      <c r="D12" s="21"/>
    </row>
    <row r="13" customFormat="false" ht="14.25" hidden="false" customHeight="false" outlineLevel="0" collapsed="false">
      <c r="A13" s="16" t="s">
        <v>81</v>
      </c>
      <c r="B13" s="17" t="str">
        <f aca="false">_xlfn.IFNA(IF(A13 = "", "", VLOOKUP(A13,'NBB Competitor list'!$C$3:$E$2000, 3, 0)), "")</f>
        <v>IC</v>
      </c>
      <c r="C13" s="18" t="str">
        <f aca="false">_xlfn.IFNA(IF(A13 = "", "", VLOOKUP(A13,'NBB Competitor list'!$C$3:$E$2000, 2, 0)), "Not In NBB Competitor List Please Update!!")</f>
        <v>https://www.morele.net/</v>
      </c>
      <c r="D13" s="21"/>
    </row>
    <row r="14" customFormat="false" ht="14.25" hidden="false" customHeight="false" outlineLevel="0" collapsed="false">
      <c r="A14" s="16" t="s">
        <v>82</v>
      </c>
      <c r="B14" s="17" t="str">
        <f aca="false">_xlfn.IFNA(IF(A14 = "", "", VLOOKUP(A14,'NBB Competitor list'!$C$3:$E$2000, 3, 0)), "")</f>
        <v>IC</v>
      </c>
      <c r="C14" s="18" t="str">
        <f aca="false">_xlfn.IFNA(IF(A14 = "", "", VLOOKUP(A14,'NBB Competitor list'!$C$3:$E$2000, 2, 0)), "Not In NBB Competitor List Please Update!!")</f>
        <v>https://www.x-kom.pl/</v>
      </c>
      <c r="D14" s="21"/>
    </row>
    <row r="15" customFormat="false" ht="14.25" hidden="false" customHeight="false" outlineLevel="0" collapsed="false">
      <c r="A15" s="16" t="s">
        <v>83</v>
      </c>
      <c r="B15" s="17" t="str">
        <f aca="false">_xlfn.IFNA(IF(A15 = "", "", VLOOKUP(A15,'NBB Competitor list'!$C$3:$E$2000, 3, 0)), "")</f>
        <v>IC</v>
      </c>
      <c r="C15" s="18" t="str">
        <f aca="false">_xlfn.IFNA(IF(A15 = "", "", VLOOKUP(A15,'NBB Competitor list'!$C$3:$E$2000, 2, 0)), "Not In NBB Competitor List Please Update!!")</f>
        <v>www.mediamarkt.se/</v>
      </c>
      <c r="D15" s="21"/>
    </row>
    <row r="16" customFormat="false" ht="14.25" hidden="false" customHeight="false" outlineLevel="0" collapsed="false">
      <c r="A16" s="16" t="s">
        <v>84</v>
      </c>
      <c r="B16" s="17" t="str">
        <f aca="false">_xlfn.IFNA(IF(A16 = "", "", VLOOKUP(A16,'NBB Competitor list'!$C$3:$E$2000, 3, 0)), "")</f>
        <v>IC</v>
      </c>
      <c r="C16" s="18" t="str">
        <f aca="false">_xlfn.IFNA(IF(A16 = "", "", VLOOKUP(A16,'NBB Competitor list'!$C$3:$E$2000, 2, 0)), "Not In NBB Competitor List Please Update!!")</f>
        <v>apple.com</v>
      </c>
      <c r="D16" s="21"/>
    </row>
    <row r="17" customFormat="false" ht="14.25" hidden="false" customHeight="false" outlineLevel="0" collapsed="false">
      <c r="A17" s="16" t="s">
        <v>85</v>
      </c>
      <c r="B17" s="17" t="str">
        <f aca="false">_xlfn.IFNA(IF(A17 = "", "", VLOOKUP(A17,'NBB Competitor list'!$C$3:$E$2000, 3, 0)), "")</f>
        <v>IC</v>
      </c>
      <c r="C17" s="18" t="str">
        <f aca="false">_xlfn.IFNA(IF(A17 = "", "", VLOOKUP(A17,'NBB Competitor list'!$C$3:$E$2000, 2, 0)), "Not In NBB Competitor List Please Update!!")</f>
        <v>https://www.webhallen.com/</v>
      </c>
      <c r="D17" s="21"/>
    </row>
    <row r="18" customFormat="false" ht="14.25" hidden="false" customHeight="false" outlineLevel="0" collapsed="false">
      <c r="A18" s="16" t="s">
        <v>86</v>
      </c>
      <c r="B18" s="17" t="str">
        <f aca="false">_xlfn.IFNA(IF(A18 = "", "", VLOOKUP(A18,'NBB Competitor list'!$C$3:$E$2000, 3, 0)), "")</f>
        <v>IC</v>
      </c>
      <c r="C18" s="18" t="str">
        <f aca="false">_xlfn.IFNA(IF(A18 = "", "", VLOOKUP(A18,'NBB Competitor list'!$C$3:$E$2000, 2, 0)), "Not In NBB Competitor List Please Update!!")</f>
        <v>www.gundogdumobilya.com.tr</v>
      </c>
      <c r="D18" s="21"/>
    </row>
    <row r="19" customFormat="false" ht="14.25" hidden="false" customHeight="false" outlineLevel="0" collapsed="false">
      <c r="A19" s="16" t="s">
        <v>87</v>
      </c>
      <c r="B19" s="17" t="str">
        <f aca="false">_xlfn.IFNA(IF(A19 = "", "", VLOOKUP(A19,'NBB Competitor list'!$C$3:$E$2000, 3, 0)), "")</f>
        <v>IC</v>
      </c>
      <c r="C19" s="18" t="str">
        <f aca="false">_xlfn.IFNA(IF(A19 = "", "", VLOOKUP(A19,'NBB Competitor list'!$C$3:$E$2000, 2, 0)), "Not In NBB Competitor List Please Update!!")</f>
        <v>https://www.indekskitap.com/</v>
      </c>
      <c r="D19" s="21"/>
    </row>
    <row r="20" customFormat="false" ht="14.25" hidden="false" customHeight="false" outlineLevel="0" collapsed="false">
      <c r="A20" s="16" t="s">
        <v>88</v>
      </c>
      <c r="B20" s="17" t="str">
        <f aca="false">_xlfn.IFNA(IF(A20 = "", "", VLOOKUP(A20,'NBB Competitor list'!$C$3:$E$2000, 3, 0)), "")</f>
        <v>IC</v>
      </c>
      <c r="C20" s="18" t="str">
        <f aca="false">_xlfn.IFNA(IF(A20 = "", "", VLOOKUP(A20,'NBB Competitor list'!$C$3:$E$2000, 2, 0)), "Not In NBB Competitor List Please Update!!")</f>
        <v>www.kitap365.com/</v>
      </c>
      <c r="D20" s="21"/>
    </row>
    <row r="21" customFormat="false" ht="14.25" hidden="false" customHeight="false" outlineLevel="0" collapsed="false">
      <c r="A21" s="16" t="s">
        <v>89</v>
      </c>
      <c r="B21" s="17" t="str">
        <f aca="false">_xlfn.IFNA(IF(A21 = "", "", VLOOKUP(A21,'NBB Competitor list'!$C$3:$E$2000, 3, 0)), "")</f>
        <v>IC</v>
      </c>
      <c r="C21" s="18" t="str">
        <f aca="false">_xlfn.IFNA(IF(A21 = "", "", VLOOKUP(A21,'NBB Competitor list'!$C$3:$E$2000, 2, 0)), "Not In NBB Competitor List Please Update!!")</f>
        <v>vestel.com.tr</v>
      </c>
      <c r="D21" s="21"/>
    </row>
    <row r="22" customFormat="false" ht="14.25" hidden="false" customHeight="false" outlineLevel="0" collapsed="false">
      <c r="A22" s="16" t="s">
        <v>90</v>
      </c>
      <c r="B22" s="17" t="str">
        <f aca="false">_xlfn.IFNA(IF(A22 = "", "", VLOOKUP(A22,'NBB Competitor list'!$C$3:$E$2000, 3, 0)), "")</f>
        <v>IC</v>
      </c>
      <c r="C22" s="18" t="str">
        <f aca="false">_xlfn.IFNA(IF(A22 = "", "", VLOOKUP(A22,'NBB Competitor list'!$C$3:$E$2000, 2, 0)), "Not In NBB Competitor List Please Update!!")</f>
        <v>https://www.ebay.co.uk/usr/ebuyer_uk_ltd</v>
      </c>
      <c r="D22" s="21"/>
    </row>
    <row r="23" customFormat="false" ht="14.25" hidden="false" customHeight="false" outlineLevel="0" collapsed="false">
      <c r="A23" s="16" t="s">
        <v>91</v>
      </c>
      <c r="B23" s="17" t="str">
        <f aca="false">_xlfn.IFNA(IF(A23 = "", "", VLOOKUP(A23,'NBB Competitor list'!$C$3:$E$2000, 3, 0)), "")</f>
        <v>IC</v>
      </c>
      <c r="C23" s="18" t="str">
        <f aca="false">_xlfn.IFNA(IF(A23 = "", "", VLOOKUP(A23,'NBB Competitor list'!$C$3:$E$2000, 2, 0)), "Not In NBB Competitor List Please Update!!")</f>
        <v>www.ebay.co.uk/usr/ao</v>
      </c>
      <c r="D23" s="21"/>
    </row>
    <row r="24" customFormat="false" ht="14.25" hidden="false" customHeight="false" outlineLevel="0" collapsed="false">
      <c r="A24" s="16" t="s">
        <v>92</v>
      </c>
      <c r="B24" s="17" t="str">
        <f aca="false">_xlfn.IFNA(IF(A24 = "", "", VLOOKUP(A24,'NBB Competitor list'!$C$3:$E$2000, 3, 0)), "")</f>
        <v>IC</v>
      </c>
      <c r="C24" s="18" t="str">
        <f aca="false">_xlfn.IFNA(IF(A24 = "", "", VLOOKUP(A24,'NBB Competitor list'!$C$3:$E$2000, 2, 0)), "Not In NBB Competitor List Please Update!!")</f>
        <v>hobbycraft.co.uk</v>
      </c>
      <c r="D24" s="21"/>
    </row>
    <row r="25" customFormat="false" ht="14.25" hidden="false" customHeight="false" outlineLevel="0" collapsed="false">
      <c r="A25" s="16" t="s">
        <v>93</v>
      </c>
      <c r="B25" s="17" t="str">
        <f aca="false">_xlfn.IFNA(IF(A25 = "", "", VLOOKUP(A25,'NBB Competitor list'!$C$3:$E$2000, 3, 0)), "")</f>
        <v>IC</v>
      </c>
      <c r="C25" s="18" t="str">
        <f aca="false">_xlfn.IFNA(IF(A25 = "", "", VLOOKUP(A25,'NBB Competitor list'!$C$3:$E$2000, 2, 0)), "Not In NBB Competitor List Please Update!!")</f>
        <v>hive.co.uk</v>
      </c>
      <c r="D25" s="21"/>
    </row>
    <row r="26" customFormat="false" ht="14.25" hidden="false" customHeight="false" outlineLevel="0" collapsed="false">
      <c r="A26" s="16" t="s">
        <v>94</v>
      </c>
      <c r="B26" s="17" t="str">
        <f aca="false">_xlfn.IFNA(IF(A26 = "", "", VLOOKUP(A26,'NBB Competitor list'!$C$3:$E$2000, 3, 0)), "")</f>
        <v>IC</v>
      </c>
      <c r="C26" s="18" t="str">
        <f aca="false">_xlfn.IFNA(IF(A26 = "", "", VLOOKUP(A26,'NBB Competitor list'!$C$3:$E$2000, 2, 0)), "Not In NBB Competitor List Please Update!!")</f>
        <v>masterofmalt.com</v>
      </c>
      <c r="D26" s="21"/>
    </row>
    <row r="27" customFormat="false" ht="14.25" hidden="false" customHeight="false" outlineLevel="0" collapsed="false">
      <c r="A27" s="16"/>
      <c r="B27" s="17" t="str">
        <f aca="false">_xlfn.IFNA(IF(A27 = "", "", VLOOKUP(A27,'NBB Competitor list'!$C$3:$E$2000, 3, 0)), "")</f>
        <v/>
      </c>
      <c r="C27" s="18" t="str">
        <f aca="false">_xlfn.IFNA(IF(A27 = "", "", VLOOKUP(A27,'NBB Competitor list'!$C$3:$E$2000, 2, 0)), "Not In NBB Competitor List Please Update!!")</f>
        <v/>
      </c>
      <c r="D27" s="21"/>
    </row>
    <row r="28" customFormat="false" ht="14.25" hidden="false" customHeight="false" outlineLevel="0" collapsed="false">
      <c r="A28" s="16"/>
      <c r="B28" s="17" t="str">
        <f aca="false">_xlfn.IFNA(IF(A28 = "", "", VLOOKUP(A28,'NBB Competitor list'!$C$3:$E$2000, 3, 0)), "")</f>
        <v/>
      </c>
      <c r="C28" s="18" t="str">
        <f aca="false">_xlfn.IFNA(IF(A28 = "", "", VLOOKUP(A28,'NBB Competitor list'!$C$3:$E$2000, 2, 0)), "Not In NBB Competitor List Please Update!!")</f>
        <v/>
      </c>
      <c r="D28" s="21"/>
    </row>
    <row r="29" customFormat="false" ht="14.25" hidden="false" customHeight="false" outlineLevel="0" collapsed="false">
      <c r="A29" s="16"/>
      <c r="B29" s="17" t="str">
        <f aca="false">_xlfn.IFNA(IF(A29 = "", "", VLOOKUP(A29,'NBB Competitor list'!$C$3:$E$2000, 3, 0)), "")</f>
        <v/>
      </c>
      <c r="C29" s="18" t="str">
        <f aca="false">_xlfn.IFNA(IF(A29 = "", "", VLOOKUP(A29,'NBB Competitor list'!$C$3:$E$2000, 2, 0)), "Not In NBB Competitor List Please Update!!")</f>
        <v/>
      </c>
      <c r="D29" s="21"/>
    </row>
    <row r="30" customFormat="false" ht="14.25" hidden="false" customHeight="false" outlineLevel="0" collapsed="false">
      <c r="A30" s="16"/>
      <c r="B30" s="17" t="str">
        <f aca="false">_xlfn.IFNA(IF(A30 = "", "", VLOOKUP(A30,'NBB Competitor list'!$C$3:$E$2000, 3, 0)), "")</f>
        <v/>
      </c>
      <c r="C30" s="18" t="str">
        <f aca="false">_xlfn.IFNA(IF(A30 = "", "", VLOOKUP(A30,'NBB Competitor list'!$C$3:$E$2000, 2, 0)), "Not In NBB Competitor List Please Update!!")</f>
        <v/>
      </c>
      <c r="D30" s="21"/>
    </row>
    <row r="31" customFormat="false" ht="14.25" hidden="false" customHeight="false" outlineLevel="0" collapsed="false">
      <c r="A31" s="16"/>
      <c r="B31" s="17" t="str">
        <f aca="false">_xlfn.IFNA(IF(A31 = "", "", VLOOKUP(A31,'NBB Competitor list'!$C$3:$E$2000, 3, 0)), "")</f>
        <v/>
      </c>
      <c r="C31" s="18" t="str">
        <f aca="false">_xlfn.IFNA(IF(A31 = "", "", VLOOKUP(A31,'NBB Competitor list'!$C$3:$E$2000, 2, 0)), "Not In NBB Competitor List Please Update!!")</f>
        <v/>
      </c>
      <c r="D31" s="21"/>
    </row>
    <row r="32" customFormat="false" ht="14.25" hidden="false" customHeight="false" outlineLevel="0" collapsed="false">
      <c r="A32" s="16"/>
      <c r="B32" s="17" t="str">
        <f aca="false">_xlfn.IFNA(IF(A32 = "", "", VLOOKUP(A32,'NBB Competitor list'!$C$3:$E$2000, 3, 0)), "")</f>
        <v/>
      </c>
      <c r="C32" s="18" t="str">
        <f aca="false">_xlfn.IFNA(IF(A32 = "", "", VLOOKUP(A32,'NBB Competitor list'!$C$3:$E$2000, 2, 0)), "Not In NBB Competitor List Please Update!!")</f>
        <v/>
      </c>
      <c r="D32" s="21"/>
    </row>
    <row r="33" customFormat="false" ht="14.25" hidden="false" customHeight="false" outlineLevel="0" collapsed="false">
      <c r="A33" s="16"/>
      <c r="B33" s="17" t="str">
        <f aca="false">_xlfn.IFNA(IF(A33 = "", "", VLOOKUP(A33,'NBB Competitor list'!$C$3:$E$2000, 3, 0)), "")</f>
        <v/>
      </c>
      <c r="C33" s="18" t="str">
        <f aca="false">_xlfn.IFNA(IF(A33 = "", "", VLOOKUP(A33,'NBB Competitor list'!$C$3:$E$2000, 2, 0)), "Not In NBB Competitor List Please Update!!")</f>
        <v/>
      </c>
      <c r="D33" s="21"/>
    </row>
    <row r="34" customFormat="false" ht="14.25" hidden="false" customHeight="false" outlineLevel="0" collapsed="false">
      <c r="A34" s="16"/>
      <c r="B34" s="17" t="str">
        <f aca="false">_xlfn.IFNA(IF(A34 = "", "", VLOOKUP(A34,'NBB Competitor list'!$C$3:$E$2000, 3, 0)), "")</f>
        <v/>
      </c>
      <c r="C34" s="18" t="str">
        <f aca="false">_xlfn.IFNA(IF(A34 = "", "", VLOOKUP(A34,'NBB Competitor list'!$C$3:$E$2000, 2, 0)), "Not In NBB Competitor List Please Update!!")</f>
        <v/>
      </c>
      <c r="D34" s="21"/>
    </row>
    <row r="35" customFormat="false" ht="14.25" hidden="false" customHeight="false" outlineLevel="0" collapsed="false">
      <c r="A35" s="16"/>
      <c r="B35" s="17" t="str">
        <f aca="false">_xlfn.IFNA(IF(A35 = "", "", VLOOKUP(A35,'NBB Competitor list'!$C$3:$E$2000, 3, 0)), "")</f>
        <v/>
      </c>
      <c r="C35" s="18" t="str">
        <f aca="false">_xlfn.IFNA(IF(A35 = "", "", VLOOKUP(A35,'NBB Competitor list'!$C$3:$E$2000, 2, 0)), "Not In NBB Competitor List Please Update!!")</f>
        <v/>
      </c>
      <c r="D35" s="21"/>
    </row>
    <row r="36" customFormat="false" ht="14.25" hidden="false" customHeight="false" outlineLevel="0" collapsed="false">
      <c r="A36" s="16"/>
      <c r="B36" s="17" t="str">
        <f aca="false">_xlfn.IFNA(IF(A36 = "", "", VLOOKUP(A36,'NBB Competitor list'!$C$3:$E$2000, 3, 0)), "")</f>
        <v/>
      </c>
      <c r="C36" s="18" t="str">
        <f aca="false">_xlfn.IFNA(IF(A36 = "", "", VLOOKUP(A36,'NBB Competitor list'!$C$3:$E$2000, 2, 0)), "Not In NBB Competitor List Please Update!!")</f>
        <v/>
      </c>
      <c r="D36" s="21"/>
    </row>
    <row r="37" customFormat="false" ht="14.25" hidden="false" customHeight="false" outlineLevel="0" collapsed="false">
      <c r="A37" s="16"/>
      <c r="B37" s="17" t="str">
        <f aca="false">_xlfn.IFNA(IF(A37 = "", "", VLOOKUP(A37,'NBB Competitor list'!$C$3:$E$2000, 3, 0)), "")</f>
        <v/>
      </c>
      <c r="C37" s="18" t="str">
        <f aca="false">_xlfn.IFNA(IF(A37 = "", "", VLOOKUP(A37,'NBB Competitor list'!$C$3:$E$2000, 2, 0)), "Not In NBB Competitor List Please Update!!")</f>
        <v/>
      </c>
      <c r="D37" s="21"/>
    </row>
    <row r="38" customFormat="false" ht="14.25" hidden="false" customHeight="false" outlineLevel="0" collapsed="false">
      <c r="A38" s="16"/>
      <c r="B38" s="17" t="str">
        <f aca="false">_xlfn.IFNA(IF(A38 = "", "", VLOOKUP(A38,'NBB Competitor list'!$C$3:$E$2000, 3, 0)), "")</f>
        <v/>
      </c>
      <c r="C38" s="18" t="str">
        <f aca="false">_xlfn.IFNA(IF(A38 = "", "", VLOOKUP(A38,'NBB Competitor list'!$C$3:$E$2000, 2, 0)), "Not In NBB Competitor List Please Update!!")</f>
        <v/>
      </c>
      <c r="D38" s="21"/>
    </row>
    <row r="39" customFormat="false" ht="14.25" hidden="false" customHeight="false" outlineLevel="0" collapsed="false">
      <c r="A39" s="16"/>
      <c r="B39" s="17" t="str">
        <f aca="false">_xlfn.IFNA(IF(A39 = "", "", VLOOKUP(A39,'NBB Competitor list'!$C$3:$E$2000, 3, 0)), "")</f>
        <v/>
      </c>
      <c r="C39" s="18" t="str">
        <f aca="false">_xlfn.IFNA(IF(A39 = "", "", VLOOKUP(A39,'NBB Competitor list'!$C$3:$E$2000, 2, 0)), "Not In NBB Competitor List Please Update!!")</f>
        <v/>
      </c>
      <c r="D39" s="21"/>
    </row>
    <row r="40" customFormat="false" ht="14.25" hidden="false" customHeight="false" outlineLevel="0" collapsed="false">
      <c r="A40" s="16"/>
      <c r="B40" s="17" t="str">
        <f aca="false">_xlfn.IFNA(IF(A40 = "", "", VLOOKUP(A40,'NBB Competitor list'!$C$3:$E$2000, 3, 0)), "")</f>
        <v/>
      </c>
      <c r="C40" s="18" t="str">
        <f aca="false">_xlfn.IFNA(IF(A40 = "", "", VLOOKUP(A40,'NBB Competitor list'!$C$3:$E$2000, 2, 0)), "Not In NBB Competitor List Please Update!!")</f>
        <v/>
      </c>
      <c r="D40" s="21"/>
    </row>
    <row r="41" customFormat="false" ht="14.25" hidden="false" customHeight="false" outlineLevel="0" collapsed="false">
      <c r="A41" s="16"/>
      <c r="B41" s="17" t="str">
        <f aca="false">_xlfn.IFNA(IF(A41 = "", "", VLOOKUP(A41,'NBB Competitor list'!$C$3:$E$2000, 3, 0)), "")</f>
        <v/>
      </c>
      <c r="C41" s="18" t="str">
        <f aca="false">_xlfn.IFNA(IF(A41 = "", "", VLOOKUP(A41,'NBB Competitor list'!$C$3:$E$2000, 2, 0)), "Not In NBB Competitor List Please Update!!")</f>
        <v/>
      </c>
      <c r="D41" s="21"/>
    </row>
    <row r="42" customFormat="false" ht="14.25" hidden="false" customHeight="false" outlineLevel="0" collapsed="false">
      <c r="A42" s="16"/>
      <c r="B42" s="17" t="str">
        <f aca="false">_xlfn.IFNA(IF(A42 = "", "", VLOOKUP(A42,'NBB Competitor list'!$C$3:$E$2000, 3, 0)), "")</f>
        <v/>
      </c>
      <c r="C42" s="18" t="str">
        <f aca="false">_xlfn.IFNA(IF(A42 = "", "", VLOOKUP(A42,'NBB Competitor list'!$C$3:$E$2000, 2, 0)), "Not In NBB Competitor List Please Update!!")</f>
        <v/>
      </c>
      <c r="D42" s="21"/>
    </row>
    <row r="43" customFormat="false" ht="14.25" hidden="false" customHeight="false" outlineLevel="0" collapsed="false">
      <c r="A43" s="16"/>
      <c r="B43" s="17" t="str">
        <f aca="false">_xlfn.IFNA(IF(A43 = "", "", VLOOKUP(A43,'NBB Competitor list'!$C$3:$E$2000, 3, 0)), "")</f>
        <v/>
      </c>
      <c r="C43" s="18" t="str">
        <f aca="false">_xlfn.IFNA(IF(A43 = "", "", VLOOKUP(A43,'NBB Competitor list'!$C$3:$E$2000, 2, 0)), "Not In NBB Competitor List Please Update!!")</f>
        <v/>
      </c>
      <c r="D43" s="21"/>
    </row>
    <row r="44" customFormat="false" ht="14.25" hidden="false" customHeight="false" outlineLevel="0" collapsed="false">
      <c r="A44" s="16"/>
      <c r="B44" s="17" t="str">
        <f aca="false">_xlfn.IFNA(IF(A44 = "", "", VLOOKUP(A44,'NBB Competitor list'!$C$3:$E$2000, 3, 0)), "")</f>
        <v/>
      </c>
      <c r="C44" s="18" t="str">
        <f aca="false">_xlfn.IFNA(IF(A44 = "", "", VLOOKUP(A44,'NBB Competitor list'!$C$3:$E$2000, 2, 0)), "Not In NBB Competitor List Please Update!!")</f>
        <v/>
      </c>
      <c r="D44" s="21"/>
    </row>
    <row r="45" customFormat="false" ht="14.25" hidden="false" customHeight="false" outlineLevel="0" collapsed="false">
      <c r="A45" s="16"/>
      <c r="B45" s="17" t="str">
        <f aca="false">_xlfn.IFNA(IF(A45 = "", "", VLOOKUP(A45,'NBB Competitor list'!$C$3:$E$2000, 3, 0)), "")</f>
        <v/>
      </c>
      <c r="C45" s="18" t="str">
        <f aca="false">_xlfn.IFNA(IF(A45 = "", "", VLOOKUP(A45,'NBB Competitor list'!$C$3:$E$2000, 2, 0)), "Not In NBB Competitor List Please Update!!")</f>
        <v/>
      </c>
      <c r="D45" s="21"/>
    </row>
    <row r="46" customFormat="false" ht="14.25" hidden="false" customHeight="false" outlineLevel="0" collapsed="false">
      <c r="A46" s="16"/>
      <c r="B46" s="17" t="str">
        <f aca="false">_xlfn.IFNA(IF(A46 = "", "", VLOOKUP(A46,'NBB Competitor list'!$C$3:$E$2000, 3, 0)), "")</f>
        <v/>
      </c>
      <c r="C46" s="18" t="str">
        <f aca="false">_xlfn.IFNA(IF(A46 = "", "", VLOOKUP(A46,'NBB Competitor list'!$C$3:$E$2000, 2, 0)), "Not In NBB Competitor List Please Update!!")</f>
        <v/>
      </c>
      <c r="D46" s="21"/>
    </row>
    <row r="47" customFormat="false" ht="14.25" hidden="false" customHeight="false" outlineLevel="0" collapsed="false">
      <c r="A47" s="16"/>
      <c r="B47" s="17" t="str">
        <f aca="false">_xlfn.IFNA(IF(A47 = "", "", VLOOKUP(A47,'NBB Competitor list'!$C$3:$E$2000, 3, 0)), "")</f>
        <v/>
      </c>
      <c r="C47" s="18" t="str">
        <f aca="false">_xlfn.IFNA(IF(A47 = "", "", VLOOKUP(A47,'NBB Competitor list'!$C$3:$E$2000, 2, 0)), "Not In NBB Competitor List Please Update!!")</f>
        <v/>
      </c>
      <c r="D47" s="21"/>
    </row>
    <row r="48" customFormat="false" ht="14.25" hidden="false" customHeight="false" outlineLevel="0" collapsed="false">
      <c r="A48" s="16"/>
      <c r="B48" s="17" t="str">
        <f aca="false">_xlfn.IFNA(IF(A48 = "", "", VLOOKUP(A48,'NBB Competitor list'!$C$3:$E$2000, 3, 0)), "")</f>
        <v/>
      </c>
      <c r="C48" s="18" t="str">
        <f aca="false">_xlfn.IFNA(IF(A48 = "", "", VLOOKUP(A48,'NBB Competitor list'!$C$3:$E$2000, 2, 0)), "Not In NBB Competitor List Please Update!!")</f>
        <v/>
      </c>
      <c r="D48" s="21"/>
    </row>
    <row r="49" customFormat="false" ht="14.25" hidden="false" customHeight="false" outlineLevel="0" collapsed="false">
      <c r="A49" s="16"/>
      <c r="B49" s="17" t="str">
        <f aca="false">_xlfn.IFNA(IF(A49 = "", "", VLOOKUP(A49,'NBB Competitor list'!$C$3:$E$2000, 3, 0)), "")</f>
        <v/>
      </c>
      <c r="C49" s="18" t="str">
        <f aca="false">_xlfn.IFNA(IF(A49 = "", "", VLOOKUP(A49,'NBB Competitor list'!$C$3:$E$2000, 2, 0)), "Not In NBB Competitor List Please Update!!")</f>
        <v/>
      </c>
      <c r="D49" s="21"/>
    </row>
    <row r="50" customFormat="false" ht="14.25" hidden="false" customHeight="false" outlineLevel="0" collapsed="false">
      <c r="A50" s="16"/>
      <c r="B50" s="17" t="str">
        <f aca="false">_xlfn.IFNA(IF(A50 = "", "", VLOOKUP(A50,'NBB Competitor list'!$C$3:$E$2000, 3, 0)), "")</f>
        <v/>
      </c>
      <c r="C50" s="18" t="str">
        <f aca="false">_xlfn.IFNA(IF(A50 = "", "", VLOOKUP(A50,'NBB Competitor list'!$C$3:$E$2000, 2, 0)), "Not In NBB Competitor List Please Update!!")</f>
        <v/>
      </c>
      <c r="D50" s="21"/>
    </row>
    <row r="51" customFormat="false" ht="14.25" hidden="false" customHeight="false" outlineLevel="0" collapsed="false">
      <c r="A51" s="16"/>
      <c r="B51" s="17" t="str">
        <f aca="false">_xlfn.IFNA(IF(A51 = "", "", VLOOKUP(A51,'NBB Competitor list'!$C$3:$E$2000, 3, 0)), "")</f>
        <v/>
      </c>
      <c r="C51" s="18" t="str">
        <f aca="false">_xlfn.IFNA(IF(A51 = "", "", VLOOKUP(A51,'NBB Competitor list'!$C$3:$E$2000, 2, 0)), "Not In NBB Competitor List Please Update!!")</f>
        <v/>
      </c>
      <c r="D51" s="21"/>
    </row>
    <row r="52" customFormat="false" ht="14.25" hidden="false" customHeight="false" outlineLevel="0" collapsed="false">
      <c r="A52" s="16"/>
      <c r="B52" s="17" t="str">
        <f aca="false">_xlfn.IFNA(IF(A52 = "", "", VLOOKUP(A52,'NBB Competitor list'!$C$3:$E$2000, 3, 0)), "")</f>
        <v/>
      </c>
      <c r="C52" s="18" t="str">
        <f aca="false">_xlfn.IFNA(IF(A52 = "", "", VLOOKUP(A52,'NBB Competitor list'!$C$3:$E$2000, 2, 0)), "Not In NBB Competitor List Please Update!!")</f>
        <v/>
      </c>
      <c r="D52" s="21"/>
    </row>
    <row r="53" customFormat="false" ht="14.25" hidden="false" customHeight="false" outlineLevel="0" collapsed="false">
      <c r="A53" s="16"/>
      <c r="B53" s="17" t="str">
        <f aca="false">_xlfn.IFNA(IF(A53 = "", "", VLOOKUP(A53,'NBB Competitor list'!$C$3:$E$2000, 3, 0)), "")</f>
        <v/>
      </c>
      <c r="C53" s="18" t="str">
        <f aca="false">_xlfn.IFNA(IF(A53 = "", "", VLOOKUP(A53,'NBB Competitor list'!$C$3:$E$2000, 2, 0)), "Not In NBB Competitor List Please Update!!")</f>
        <v/>
      </c>
      <c r="D53" s="21"/>
    </row>
    <row r="54" customFormat="false" ht="14.25" hidden="false" customHeight="false" outlineLevel="0" collapsed="false">
      <c r="A54" s="16"/>
      <c r="B54" s="17" t="str">
        <f aca="false">_xlfn.IFNA(IF(A54 = "", "", VLOOKUP(A54,'NBB Competitor list'!$C$3:$E$2000, 3, 0)), "")</f>
        <v/>
      </c>
      <c r="C54" s="18" t="str">
        <f aca="false">_xlfn.IFNA(IF(A54 = "", "", VLOOKUP(A54,'NBB Competitor list'!$C$3:$E$2000, 2, 0)), "Not In NBB Competitor List Please Update!!")</f>
        <v/>
      </c>
      <c r="D54" s="21"/>
    </row>
    <row r="55" customFormat="false" ht="14.25" hidden="false" customHeight="false" outlineLevel="0" collapsed="false">
      <c r="A55" s="16"/>
      <c r="B55" s="17" t="str">
        <f aca="false">_xlfn.IFNA(IF(A55 = "", "", VLOOKUP(A55,'NBB Competitor list'!$C$3:$E$2000, 3, 0)), "")</f>
        <v/>
      </c>
      <c r="C55" s="18" t="str">
        <f aca="false">_xlfn.IFNA(IF(A55 = "", "", VLOOKUP(A55,'NBB Competitor list'!$C$3:$E$2000, 2, 0)), "Not In NBB Competitor List Please Update!!")</f>
        <v/>
      </c>
      <c r="D55" s="21"/>
    </row>
    <row r="56" customFormat="false" ht="14.25" hidden="false" customHeight="false" outlineLevel="0" collapsed="false">
      <c r="A56" s="16"/>
      <c r="B56" s="17" t="str">
        <f aca="false">_xlfn.IFNA(IF(A56 = "", "", VLOOKUP(A56,'NBB Competitor list'!$C$3:$E$2000, 3, 0)), "")</f>
        <v/>
      </c>
      <c r="C56" s="18" t="str">
        <f aca="false">_xlfn.IFNA(IF(A56 = "", "", VLOOKUP(A56,'NBB Competitor list'!$C$3:$E$2000, 2, 0)), "Not In NBB Competitor List Please Update!!")</f>
        <v/>
      </c>
      <c r="D56" s="21"/>
    </row>
    <row r="57" customFormat="false" ht="14.25" hidden="false" customHeight="false" outlineLevel="0" collapsed="false">
      <c r="A57" s="16"/>
      <c r="B57" s="17" t="str">
        <f aca="false">_xlfn.IFNA(IF(A57 = "", "", VLOOKUP(A57,'NBB Competitor list'!$C$3:$E$2000, 3, 0)), "")</f>
        <v/>
      </c>
      <c r="C57" s="18" t="str">
        <f aca="false">_xlfn.IFNA(IF(A57 = "", "", VLOOKUP(A57,'NBB Competitor list'!$C$3:$E$2000, 2, 0)), "Not In NBB Competitor List Please Update!!")</f>
        <v/>
      </c>
      <c r="D57" s="21"/>
    </row>
    <row r="58" customFormat="false" ht="14.25" hidden="false" customHeight="false" outlineLevel="0" collapsed="false">
      <c r="A58" s="16"/>
      <c r="B58" s="17" t="str">
        <f aca="false">_xlfn.IFNA(IF(A58 = "", "", VLOOKUP(A58,'NBB Competitor list'!$C$3:$E$2000, 3, 0)), "")</f>
        <v/>
      </c>
      <c r="C58" s="18" t="str">
        <f aca="false">_xlfn.IFNA(IF(A58 = "", "", VLOOKUP(A58,'NBB Competitor list'!$C$3:$E$2000, 2, 0)), "Not In NBB Competitor List Please Update!!")</f>
        <v/>
      </c>
      <c r="D58" s="21"/>
    </row>
    <row r="59" customFormat="false" ht="14.25" hidden="false" customHeight="false" outlineLevel="0" collapsed="false">
      <c r="A59" s="16"/>
      <c r="B59" s="17" t="str">
        <f aca="false">_xlfn.IFNA(IF(A59 = "", "", VLOOKUP(A59,'NBB Competitor list'!$C$3:$E$2000, 3, 0)), "")</f>
        <v/>
      </c>
      <c r="C59" s="18" t="str">
        <f aca="false">_xlfn.IFNA(IF(A59 = "", "", VLOOKUP(A59,'NBB Competitor list'!$C$3:$E$2000, 2, 0)), "Not In NBB Competitor List Please Update!!")</f>
        <v/>
      </c>
      <c r="D59" s="21"/>
    </row>
    <row r="60" customFormat="false" ht="14.25" hidden="false" customHeight="false" outlineLevel="0" collapsed="false">
      <c r="A60" s="16"/>
      <c r="B60" s="17" t="str">
        <f aca="false">_xlfn.IFNA(IF(A60 = "", "", VLOOKUP(A60,'NBB Competitor list'!$C$3:$E$2000, 3, 0)), "")</f>
        <v/>
      </c>
      <c r="C60" s="18" t="str">
        <f aca="false">_xlfn.IFNA(IF(A60 = "", "", VLOOKUP(A60,'NBB Competitor list'!$C$3:$E$2000, 2, 0)), "Not In NBB Competitor List Please Update!!")</f>
        <v/>
      </c>
      <c r="D60" s="21"/>
    </row>
    <row r="61" customFormat="false" ht="14.25" hidden="false" customHeight="false" outlineLevel="0" collapsed="false">
      <c r="A61" s="16"/>
      <c r="B61" s="17" t="str">
        <f aca="false">_xlfn.IFNA(IF(A61 = "", "", VLOOKUP(A61,'NBB Competitor list'!$C$3:$E$2000, 3, 0)), "")</f>
        <v/>
      </c>
      <c r="C61" s="18" t="str">
        <f aca="false">_xlfn.IFNA(IF(A61 = "", "", VLOOKUP(A61,'NBB Competitor list'!$C$3:$E$2000, 2, 0)), "Not In NBB Competitor List Please Update!!")</f>
        <v/>
      </c>
      <c r="D61" s="21"/>
    </row>
    <row r="62" customFormat="false" ht="14.25" hidden="false" customHeight="false" outlineLevel="0" collapsed="false">
      <c r="A62" s="16"/>
      <c r="B62" s="17" t="str">
        <f aca="false">_xlfn.IFNA(IF(A62 = "", "", VLOOKUP(A62,'NBB Competitor list'!$C$3:$E$2000, 3, 0)), "")</f>
        <v/>
      </c>
      <c r="C62" s="18" t="str">
        <f aca="false">_xlfn.IFNA(IF(A62 = "", "", VLOOKUP(A62,'NBB Competitor list'!$C$3:$E$2000, 2, 0)), "Not In NBB Competitor List Please Update!!")</f>
        <v/>
      </c>
      <c r="D62" s="21"/>
    </row>
    <row r="63" customFormat="false" ht="14.25" hidden="false" customHeight="false" outlineLevel="0" collapsed="false">
      <c r="A63" s="16"/>
      <c r="B63" s="17" t="str">
        <f aca="false">_xlfn.IFNA(IF(A63 = "", "", VLOOKUP(A63,'NBB Competitor list'!$C$3:$E$2000, 3, 0)), "")</f>
        <v/>
      </c>
      <c r="C63" s="18" t="str">
        <f aca="false">_xlfn.IFNA(IF(A63 = "", "", VLOOKUP(A63,'NBB Competitor list'!$C$3:$E$2000, 2, 0)), "Not In NBB Competitor List Please Update!!")</f>
        <v/>
      </c>
      <c r="D63" s="21"/>
    </row>
    <row r="64" customFormat="false" ht="14.25" hidden="false" customHeight="false" outlineLevel="0" collapsed="false">
      <c r="A64" s="16"/>
      <c r="B64" s="17" t="str">
        <f aca="false">_xlfn.IFNA(IF(A64 = "", "", VLOOKUP(A64,'NBB Competitor list'!$C$3:$E$2000, 3, 0)), "")</f>
        <v/>
      </c>
      <c r="C64" s="18" t="str">
        <f aca="false">_xlfn.IFNA(IF(A64 = "", "", VLOOKUP(A64,'NBB Competitor list'!$C$3:$E$2000, 2, 0)), "Not In NBB Competitor List Please Update!!")</f>
        <v/>
      </c>
      <c r="D64" s="21"/>
    </row>
    <row r="65" customFormat="false" ht="14.25" hidden="false" customHeight="false" outlineLevel="0" collapsed="false">
      <c r="A65" s="16"/>
      <c r="B65" s="17" t="str">
        <f aca="false">_xlfn.IFNA(IF(A65 = "", "", VLOOKUP(A65,'NBB Competitor list'!$C$3:$E$2000, 3, 0)), "")</f>
        <v/>
      </c>
      <c r="C65" s="18" t="str">
        <f aca="false">_xlfn.IFNA(IF(A65 = "", "", VLOOKUP(A65,'NBB Competitor list'!$C$3:$E$2000, 2, 0)), "Not In NBB Competitor List Please Update!!")</f>
        <v/>
      </c>
      <c r="D65" s="21"/>
    </row>
    <row r="66" customFormat="false" ht="14.25" hidden="false" customHeight="false" outlineLevel="0" collapsed="false">
      <c r="A66" s="16"/>
      <c r="B66" s="17" t="str">
        <f aca="false">_xlfn.IFNA(IF(A66 = "", "", VLOOKUP(A66,'NBB Competitor list'!$C$3:$E$2000, 3, 0)), "")</f>
        <v/>
      </c>
      <c r="C66" s="18" t="str">
        <f aca="false">_xlfn.IFNA(IF(A66 = "", "", VLOOKUP(A66,'NBB Competitor list'!$C$3:$E$2000, 2, 0)), "Not In NBB Competitor List Please Update!!")</f>
        <v/>
      </c>
      <c r="D66" s="21"/>
    </row>
    <row r="67" customFormat="false" ht="14.25" hidden="false" customHeight="false" outlineLevel="0" collapsed="false">
      <c r="A67" s="16"/>
      <c r="B67" s="17" t="str">
        <f aca="false">_xlfn.IFNA(IF(A67 = "", "", VLOOKUP(A67,'NBB Competitor list'!$C$3:$E$2000, 3, 0)), "")</f>
        <v/>
      </c>
      <c r="C67" s="18" t="str">
        <f aca="false">_xlfn.IFNA(IF(A67 = "", "", VLOOKUP(A67,'NBB Competitor list'!$C$3:$E$2000, 2, 0)), "Not In NBB Competitor List Please Update!!")</f>
        <v/>
      </c>
      <c r="D67" s="21"/>
    </row>
    <row r="68" customFormat="false" ht="14.25" hidden="false" customHeight="false" outlineLevel="0" collapsed="false">
      <c r="A68" s="16"/>
      <c r="B68" s="17" t="str">
        <f aca="false">_xlfn.IFNA(IF(A68 = "", "", VLOOKUP(A68,'NBB Competitor list'!$C$3:$E$2000, 3, 0)), "")</f>
        <v/>
      </c>
      <c r="C68" s="18" t="str">
        <f aca="false">_xlfn.IFNA(IF(A68 = "", "", VLOOKUP(A68,'NBB Competitor list'!$C$3:$E$2000, 2, 0)), "Not In NBB Competitor List Please Update!!")</f>
        <v/>
      </c>
      <c r="D68" s="21"/>
    </row>
    <row r="69" customFormat="false" ht="14.25" hidden="false" customHeight="false" outlineLevel="0" collapsed="false">
      <c r="A69" s="16"/>
      <c r="B69" s="17" t="str">
        <f aca="false">_xlfn.IFNA(IF(A69 = "", "", VLOOKUP(A69,'NBB Competitor list'!$C$3:$E$2000, 3, 0)), "")</f>
        <v/>
      </c>
      <c r="C69" s="18" t="str">
        <f aca="false">_xlfn.IFNA(IF(A69 = "", "", VLOOKUP(A69,'NBB Competitor list'!$C$3:$E$2000, 2, 0)), "Not In NBB Competitor List Please Update!!")</f>
        <v/>
      </c>
      <c r="D69" s="21"/>
    </row>
    <row r="70" customFormat="false" ht="14.25" hidden="false" customHeight="false" outlineLevel="0" collapsed="false">
      <c r="A70" s="16"/>
      <c r="B70" s="17" t="str">
        <f aca="false">_xlfn.IFNA(IF(A70 = "", "", VLOOKUP(A70,'NBB Competitor list'!$C$3:$E$2000, 3, 0)), "")</f>
        <v/>
      </c>
      <c r="C70" s="18" t="str">
        <f aca="false">_xlfn.IFNA(IF(A70 = "", "", VLOOKUP(A70,'NBB Competitor list'!$C$3:$E$2000, 2, 0)), "Not In NBB Competitor List Please Update!!")</f>
        <v/>
      </c>
      <c r="D70" s="21"/>
    </row>
    <row r="71" customFormat="false" ht="14.25" hidden="false" customHeight="false" outlineLevel="0" collapsed="false">
      <c r="A71" s="16"/>
      <c r="B71" s="17" t="str">
        <f aca="false">_xlfn.IFNA(IF(A71 = "", "", VLOOKUP(A71,'NBB Competitor list'!$C$3:$E$2000, 3, 0)), "")</f>
        <v/>
      </c>
      <c r="C71" s="18" t="str">
        <f aca="false">_xlfn.IFNA(IF(A71 = "", "", VLOOKUP(A71,'NBB Competitor list'!$C$3:$E$2000, 2, 0)), "Not In NBB Competitor List Please Update!!")</f>
        <v/>
      </c>
      <c r="D71" s="21"/>
    </row>
    <row r="72" customFormat="false" ht="14.25" hidden="false" customHeight="false" outlineLevel="0" collapsed="false">
      <c r="A72" s="16"/>
      <c r="B72" s="17" t="str">
        <f aca="false">_xlfn.IFNA(IF(A72 = "", "", VLOOKUP(A72,'NBB Competitor list'!$C$3:$E$2000, 3, 0)), "")</f>
        <v/>
      </c>
      <c r="C72" s="18" t="str">
        <f aca="false">_xlfn.IFNA(IF(A72 = "", "", VLOOKUP(A72,'NBB Competitor list'!$C$3:$E$2000, 2, 0)), "Not In NBB Competitor List Please Update!!")</f>
        <v/>
      </c>
      <c r="D72" s="21"/>
    </row>
    <row r="73" customFormat="false" ht="14.25" hidden="false" customHeight="false" outlineLevel="0" collapsed="false">
      <c r="A73" s="16"/>
      <c r="B73" s="17" t="str">
        <f aca="false">_xlfn.IFNA(IF(A73 = "", "", VLOOKUP(A73,'NBB Competitor list'!$C$3:$E$2000, 3, 0)), "")</f>
        <v/>
      </c>
      <c r="C73" s="18" t="str">
        <f aca="false">_xlfn.IFNA(IF(A73 = "", "", VLOOKUP(A73,'NBB Competitor list'!$C$3:$E$2000, 2, 0)), "Not In NBB Competitor List Please Update!!")</f>
        <v/>
      </c>
      <c r="D73" s="21"/>
    </row>
    <row r="74" customFormat="false" ht="14.25" hidden="false" customHeight="false" outlineLevel="0" collapsed="false">
      <c r="A74" s="16"/>
      <c r="B74" s="17" t="str">
        <f aca="false">_xlfn.IFNA(IF(A74 = "", "", VLOOKUP(A74,'NBB Competitor list'!$C$3:$E$2000, 3, 0)), "")</f>
        <v/>
      </c>
      <c r="C74" s="18" t="str">
        <f aca="false">_xlfn.IFNA(IF(A74 = "", "", VLOOKUP(A74,'NBB Competitor list'!$C$3:$E$2000, 2, 0)), "Not In NBB Competitor List Please Update!!")</f>
        <v/>
      </c>
      <c r="D74" s="21"/>
    </row>
    <row r="75" customFormat="false" ht="14.25" hidden="false" customHeight="false" outlineLevel="0" collapsed="false">
      <c r="A75" s="16"/>
      <c r="B75" s="17" t="str">
        <f aca="false">_xlfn.IFNA(IF(A75 = "", "", VLOOKUP(A75,'NBB Competitor list'!$C$3:$E$2000, 3, 0)), "")</f>
        <v/>
      </c>
      <c r="C75" s="18" t="str">
        <f aca="false">_xlfn.IFNA(IF(A75 = "", "", VLOOKUP(A75,'NBB Competitor list'!$C$3:$E$2000, 2, 0)), "Not In NBB Competitor List Please Update!!")</f>
        <v/>
      </c>
      <c r="D75" s="21"/>
    </row>
    <row r="76" customFormat="false" ht="14.25" hidden="false" customHeight="false" outlineLevel="0" collapsed="false">
      <c r="A76" s="16"/>
      <c r="B76" s="17" t="str">
        <f aca="false">_xlfn.IFNA(IF(A76 = "", "", VLOOKUP(A76,'NBB Competitor list'!$C$3:$E$2000, 3, 0)), "")</f>
        <v/>
      </c>
      <c r="C76" s="18" t="str">
        <f aca="false">_xlfn.IFNA(IF(A76 = "", "", VLOOKUP(A76,'NBB Competitor list'!$C$3:$E$2000, 2, 0)), "Not In NBB Competitor List Please Update!!")</f>
        <v/>
      </c>
      <c r="D76" s="21"/>
    </row>
    <row r="77" customFormat="false" ht="14.25" hidden="false" customHeight="false" outlineLevel="0" collapsed="false">
      <c r="A77" s="16"/>
      <c r="B77" s="17" t="str">
        <f aca="false">_xlfn.IFNA(IF(A77 = "", "", VLOOKUP(A77,'NBB Competitor list'!$C$3:$E$2000, 3, 0)), "")</f>
        <v/>
      </c>
      <c r="C77" s="18" t="str">
        <f aca="false">_xlfn.IFNA(IF(A77 = "", "", VLOOKUP(A77,'NBB Competitor list'!$C$3:$E$2000, 2, 0)), "Not In NBB Competitor List Please Update!!")</f>
        <v/>
      </c>
      <c r="D77" s="21"/>
    </row>
    <row r="78" customFormat="false" ht="14.25" hidden="false" customHeight="false" outlineLevel="0" collapsed="false">
      <c r="A78" s="16"/>
      <c r="B78" s="17" t="str">
        <f aca="false">_xlfn.IFNA(IF(A78 = "", "", VLOOKUP(A78,'NBB Competitor list'!$C$3:$E$2000, 3, 0)), "")</f>
        <v/>
      </c>
      <c r="C78" s="18" t="str">
        <f aca="false">_xlfn.IFNA(IF(A78 = "", "", VLOOKUP(A78,'NBB Competitor list'!$C$3:$E$2000, 2, 0)), "Not In NBB Competitor List Please Update!!")</f>
        <v/>
      </c>
      <c r="D78" s="21"/>
    </row>
    <row r="79" customFormat="false" ht="14.25" hidden="false" customHeight="false" outlineLevel="0" collapsed="false">
      <c r="A79" s="16"/>
      <c r="B79" s="17" t="str">
        <f aca="false">_xlfn.IFNA(IF(A79 = "", "", VLOOKUP(A79,'NBB Competitor list'!$C$3:$E$2000, 3, 0)), "")</f>
        <v/>
      </c>
      <c r="C79" s="18" t="str">
        <f aca="false">_xlfn.IFNA(IF(A79 = "", "", VLOOKUP(A79,'NBB Competitor list'!$C$3:$E$2000, 2, 0)), "Not In NBB Competitor List Please Update!!")</f>
        <v/>
      </c>
      <c r="D79" s="21"/>
    </row>
    <row r="80" customFormat="false" ht="14.25" hidden="false" customHeight="false" outlineLevel="0" collapsed="false">
      <c r="A80" s="16"/>
      <c r="B80" s="17" t="str">
        <f aca="false">_xlfn.IFNA(IF(A80 = "", "", VLOOKUP(A80,'NBB Competitor list'!$C$3:$E$2000, 3, 0)), "")</f>
        <v/>
      </c>
      <c r="C80" s="18" t="str">
        <f aca="false">_xlfn.IFNA(IF(A80 = "", "", VLOOKUP(A80,'NBB Competitor list'!$C$3:$E$2000, 2, 0)), "Not In NBB Competitor List Please Update!!")</f>
        <v/>
      </c>
      <c r="D80" s="21"/>
    </row>
    <row r="81" customFormat="false" ht="14.25" hidden="false" customHeight="false" outlineLevel="0" collapsed="false">
      <c r="A81" s="16"/>
      <c r="B81" s="17" t="str">
        <f aca="false">_xlfn.IFNA(IF(A81 = "", "", VLOOKUP(A81,'NBB Competitor list'!$C$3:$E$2000, 3, 0)), "")</f>
        <v/>
      </c>
      <c r="C81" s="18" t="str">
        <f aca="false">_xlfn.IFNA(IF(A81 = "", "", VLOOKUP(A81,'NBB Competitor list'!$C$3:$E$2000, 2, 0)), "Not In NBB Competitor List Please Update!!")</f>
        <v/>
      </c>
      <c r="D81" s="21"/>
    </row>
    <row r="82" customFormat="false" ht="14.25" hidden="false" customHeight="false" outlineLevel="0" collapsed="false">
      <c r="A82" s="16"/>
      <c r="B82" s="17" t="str">
        <f aca="false">_xlfn.IFNA(IF(A82 = "", "", VLOOKUP(A82,'NBB Competitor list'!$C$3:$E$2000, 3, 0)), "")</f>
        <v/>
      </c>
      <c r="C82" s="18" t="str">
        <f aca="false">_xlfn.IFNA(IF(A82 = "", "", VLOOKUP(A82,'NBB Competitor list'!$C$3:$E$2000, 2, 0)), "Not In NBB Competitor List Please Update!!")</f>
        <v/>
      </c>
      <c r="D82" s="21"/>
    </row>
    <row r="83" customFormat="false" ht="14.25" hidden="false" customHeight="false" outlineLevel="0" collapsed="false">
      <c r="A83" s="16"/>
      <c r="B83" s="17" t="str">
        <f aca="false">_xlfn.IFNA(IF(A83 = "", "", VLOOKUP(A83,'NBB Competitor list'!$C$3:$E$2000, 3, 0)), "")</f>
        <v/>
      </c>
      <c r="C83" s="18" t="str">
        <f aca="false">_xlfn.IFNA(IF(A83 = "", "", VLOOKUP(A83,'NBB Competitor list'!$C$3:$E$2000, 2, 0)), "Not In NBB Competitor List Please Update!!")</f>
        <v/>
      </c>
      <c r="D83" s="21"/>
    </row>
    <row r="84" customFormat="false" ht="14.25" hidden="false" customHeight="false" outlineLevel="0" collapsed="false">
      <c r="A84" s="16"/>
      <c r="B84" s="17" t="str">
        <f aca="false">_xlfn.IFNA(IF(A84 = "", "", VLOOKUP(A84,'NBB Competitor list'!$C$3:$E$2000, 3, 0)), "")</f>
        <v/>
      </c>
      <c r="C84" s="18" t="str">
        <f aca="false">_xlfn.IFNA(IF(A84 = "", "", VLOOKUP(A84,'NBB Competitor list'!$C$3:$E$2000, 2, 0)), "Not In NBB Competitor List Please Update!!")</f>
        <v/>
      </c>
      <c r="D84" s="21"/>
    </row>
    <row r="85" customFormat="false" ht="14.25" hidden="false" customHeight="false" outlineLevel="0" collapsed="false">
      <c r="A85" s="16"/>
      <c r="B85" s="17" t="str">
        <f aca="false">_xlfn.IFNA(IF(A85 = "", "", VLOOKUP(A85,'NBB Competitor list'!$C$3:$E$2000, 3, 0)), "")</f>
        <v/>
      </c>
      <c r="C85" s="18" t="str">
        <f aca="false">_xlfn.IFNA(IF(A85 = "", "", VLOOKUP(A85,'NBB Competitor list'!$C$3:$E$2000, 2, 0)), "Not In NBB Competitor List Please Update!!")</f>
        <v/>
      </c>
      <c r="D85" s="21"/>
    </row>
    <row r="86" customFormat="false" ht="14.25" hidden="false" customHeight="false" outlineLevel="0" collapsed="false">
      <c r="A86" s="16"/>
      <c r="B86" s="17" t="str">
        <f aca="false">_xlfn.IFNA(IF(A86 = "", "", VLOOKUP(A86,'NBB Competitor list'!$C$3:$E$2000, 3, 0)), "")</f>
        <v/>
      </c>
      <c r="C86" s="18" t="str">
        <f aca="false">_xlfn.IFNA(IF(A86 = "", "", VLOOKUP(A86,'NBB Competitor list'!$C$3:$E$2000, 2, 0)), "Not In NBB Competitor List Please Update!!")</f>
        <v/>
      </c>
      <c r="D86" s="21"/>
    </row>
    <row r="87" customFormat="false" ht="14.25" hidden="false" customHeight="false" outlineLevel="0" collapsed="false">
      <c r="A87" s="16"/>
      <c r="B87" s="17" t="str">
        <f aca="false">_xlfn.IFNA(IF(A87 = "", "", VLOOKUP(A87,'NBB Competitor list'!$C$3:$E$2000, 3, 0)), "")</f>
        <v/>
      </c>
      <c r="C87" s="18" t="str">
        <f aca="false">_xlfn.IFNA(IF(A87 = "", "", VLOOKUP(A87,'NBB Competitor list'!$C$3:$E$2000, 2, 0)), "Not In NBB Competitor List Please Update!!")</f>
        <v/>
      </c>
      <c r="D87" s="21"/>
    </row>
    <row r="88" customFormat="false" ht="14.25" hidden="false" customHeight="false" outlineLevel="0" collapsed="false">
      <c r="A88" s="16"/>
      <c r="B88" s="17" t="str">
        <f aca="false">_xlfn.IFNA(IF(A88 = "", "", VLOOKUP(A88,'NBB Competitor list'!$C$3:$E$2000, 3, 0)), "")</f>
        <v/>
      </c>
      <c r="C88" s="18" t="str">
        <f aca="false">_xlfn.IFNA(IF(A88 = "", "", VLOOKUP(A88,'NBB Competitor list'!$C$3:$E$2000, 2, 0)), "Not In NBB Competitor List Please Update!!")</f>
        <v/>
      </c>
      <c r="D88" s="21"/>
    </row>
    <row r="89" customFormat="false" ht="14.25" hidden="false" customHeight="false" outlineLevel="0" collapsed="false">
      <c r="A89" s="16"/>
      <c r="B89" s="17" t="str">
        <f aca="false">_xlfn.IFNA(IF(A89 = "", "", VLOOKUP(A89,'NBB Competitor list'!$C$3:$E$2000, 3, 0)), "")</f>
        <v/>
      </c>
      <c r="C89" s="18" t="str">
        <f aca="false">_xlfn.IFNA(IF(A89 = "", "", VLOOKUP(A89,'NBB Competitor list'!$C$3:$E$2000, 2, 0)), "Not In NBB Competitor List Please Update!!")</f>
        <v/>
      </c>
      <c r="D89" s="21"/>
    </row>
    <row r="90" customFormat="false" ht="14.25" hidden="false" customHeight="false" outlineLevel="0" collapsed="false">
      <c r="A90" s="16"/>
      <c r="B90" s="17" t="str">
        <f aca="false">_xlfn.IFNA(IF(A90 = "", "", VLOOKUP(A90,'NBB Competitor list'!$C$3:$E$2000, 3, 0)), "")</f>
        <v/>
      </c>
      <c r="C90" s="18" t="str">
        <f aca="false">_xlfn.IFNA(IF(A90 = "", "", VLOOKUP(A90,'NBB Competitor list'!$C$3:$E$2000, 2, 0)), "Not In NBB Competitor List Please Update!!")</f>
        <v/>
      </c>
      <c r="D90" s="21"/>
    </row>
    <row r="91" customFormat="false" ht="14.25" hidden="false" customHeight="false" outlineLevel="0" collapsed="false">
      <c r="A91" s="16"/>
      <c r="B91" s="17" t="str">
        <f aca="false">_xlfn.IFNA(IF(A91 = "", "", VLOOKUP(A91,'NBB Competitor list'!$C$3:$E$2000, 3, 0)), "")</f>
        <v/>
      </c>
      <c r="C91" s="18" t="str">
        <f aca="false">_xlfn.IFNA(IF(A91 = "", "", VLOOKUP(A91,'NBB Competitor list'!$C$3:$E$2000, 2, 0)), "Not In NBB Competitor List Please Update!!")</f>
        <v/>
      </c>
      <c r="D91" s="21"/>
    </row>
    <row r="92" customFormat="false" ht="14.25" hidden="false" customHeight="false" outlineLevel="0" collapsed="false">
      <c r="A92" s="16"/>
      <c r="B92" s="17" t="str">
        <f aca="false">_xlfn.IFNA(IF(A92 = "", "", VLOOKUP(A92,'NBB Competitor list'!$C$3:$E$2000, 3, 0)), "")</f>
        <v/>
      </c>
      <c r="C92" s="18" t="str">
        <f aca="false">_xlfn.IFNA(IF(A92 = "", "", VLOOKUP(A92,'NBB Competitor list'!$C$3:$E$2000, 2, 0)), "Not In NBB Competitor List Please Update!!")</f>
        <v/>
      </c>
      <c r="D92" s="21"/>
    </row>
    <row r="93" customFormat="false" ht="14.25" hidden="false" customHeight="false" outlineLevel="0" collapsed="false">
      <c r="A93" s="16"/>
      <c r="B93" s="17" t="str">
        <f aca="false">_xlfn.IFNA(IF(A93 = "", "", VLOOKUP(A93,'NBB Competitor list'!$C$3:$E$2000, 3, 0)), "")</f>
        <v/>
      </c>
      <c r="C93" s="18" t="str">
        <f aca="false">_xlfn.IFNA(IF(A93 = "", "", VLOOKUP(A93,'NBB Competitor list'!$C$3:$E$2000, 2, 0)), "Not In NBB Competitor List Please Update!!")</f>
        <v/>
      </c>
      <c r="D93" s="21"/>
    </row>
    <row r="94" customFormat="false" ht="14.25" hidden="false" customHeight="false" outlineLevel="0" collapsed="false">
      <c r="A94" s="16"/>
      <c r="B94" s="17" t="str">
        <f aca="false">_xlfn.IFNA(IF(A94 = "", "", VLOOKUP(A94,'NBB Competitor list'!$C$3:$E$2000, 3, 0)), "")</f>
        <v/>
      </c>
      <c r="C94" s="18" t="str">
        <f aca="false">_xlfn.IFNA(IF(A94 = "", "", VLOOKUP(A94,'NBB Competitor list'!$C$3:$E$2000, 2, 0)), "Not In NBB Competitor List Please Update!!")</f>
        <v/>
      </c>
      <c r="D94" s="21"/>
    </row>
    <row r="95" customFormat="false" ht="14.25" hidden="false" customHeight="false" outlineLevel="0" collapsed="false">
      <c r="A95" s="16"/>
      <c r="B95" s="17" t="str">
        <f aca="false">_xlfn.IFNA(IF(A95 = "", "", VLOOKUP(A95,'NBB Competitor list'!$C$3:$E$2000, 3, 0)), "")</f>
        <v/>
      </c>
      <c r="C95" s="18" t="str">
        <f aca="false">_xlfn.IFNA(IF(A95 = "", "", VLOOKUP(A95,'NBB Competitor list'!$C$3:$E$2000, 2, 0)), "Not In NBB Competitor List Please Update!!")</f>
        <v/>
      </c>
      <c r="D95" s="21"/>
    </row>
    <row r="96" customFormat="false" ht="14.25" hidden="false" customHeight="false" outlineLevel="0" collapsed="false">
      <c r="A96" s="16"/>
      <c r="B96" s="17" t="str">
        <f aca="false">_xlfn.IFNA(IF(A96 = "", "", VLOOKUP(A96,'NBB Competitor list'!$C$3:$E$2000, 3, 0)), "")</f>
        <v/>
      </c>
      <c r="C96" s="18" t="str">
        <f aca="false">_xlfn.IFNA(IF(A96 = "", "", VLOOKUP(A96,'NBB Competitor list'!$C$3:$E$2000, 2, 0)), "Not In NBB Competitor List Please Update!!")</f>
        <v/>
      </c>
      <c r="D96" s="21"/>
    </row>
    <row r="97" customFormat="false" ht="14.25" hidden="false" customHeight="false" outlineLevel="0" collapsed="false">
      <c r="A97" s="16"/>
      <c r="B97" s="17" t="str">
        <f aca="false">_xlfn.IFNA(IF(A97 = "", "", VLOOKUP(A97,'NBB Competitor list'!$C$3:$E$2000, 3, 0)), "")</f>
        <v/>
      </c>
      <c r="C97" s="18" t="str">
        <f aca="false">_xlfn.IFNA(IF(A97 = "", "", VLOOKUP(A97,'NBB Competitor list'!$C$3:$E$2000, 2, 0)), "Not In NBB Competitor List Please Update!!")</f>
        <v/>
      </c>
      <c r="D97" s="21"/>
    </row>
    <row r="98" customFormat="false" ht="14.25" hidden="false" customHeight="false" outlineLevel="0" collapsed="false">
      <c r="A98" s="16"/>
      <c r="B98" s="17" t="str">
        <f aca="false">_xlfn.IFNA(IF(A98 = "", "", VLOOKUP(A98,'NBB Competitor list'!$C$3:$E$2000, 3, 0)), "")</f>
        <v/>
      </c>
      <c r="C98" s="18" t="str">
        <f aca="false">_xlfn.IFNA(IF(A98 = "", "", VLOOKUP(A98,'NBB Competitor list'!$C$3:$E$2000, 2, 0)), "Not In NBB Competitor List Please Update!!")</f>
        <v/>
      </c>
      <c r="D98" s="21"/>
    </row>
    <row r="99" customFormat="false" ht="14.25" hidden="false" customHeight="false" outlineLevel="0" collapsed="false">
      <c r="A99" s="16"/>
      <c r="B99" s="17" t="str">
        <f aca="false">_xlfn.IFNA(IF(A99 = "", "", VLOOKUP(A99,'NBB Competitor list'!$C$3:$E$2000, 3, 0)), "")</f>
        <v/>
      </c>
      <c r="C99" s="18" t="str">
        <f aca="false">_xlfn.IFNA(IF(A99 = "", "", VLOOKUP(A99,'NBB Competitor list'!$C$3:$E$2000, 2, 0)), "Not In NBB Competitor List Please Update!!")</f>
        <v/>
      </c>
      <c r="D99" s="21"/>
    </row>
    <row r="100" customFormat="false" ht="15" hidden="false" customHeight="false" outlineLevel="0" collapsed="false">
      <c r="A100" s="25"/>
      <c r="B100" s="17" t="str">
        <f aca="false">_xlfn.IFNA(IF(A100 = "", "", VLOOKUP(A100,'NBB Competitor list'!$C$3:$E$2000, 3, 0)), "")</f>
        <v/>
      </c>
      <c r="C100" s="18" t="str">
        <f aca="false">_xlfn.IFNA(IF(A100 = "", "", VLOOKUP(A100,'NBB Competitor list'!$C$3:$E$2000, 2, 0)), "Not In NBB Competitor List Please Update!!")</f>
        <v/>
      </c>
      <c r="D100" s="21"/>
    </row>
  </sheetData>
  <sheetProtection sheet="true" objects="true" scenarios="true"/>
  <conditionalFormatting sqref="A2">
    <cfRule type="duplicateValues" priority="2" aboveAverage="0" equalAverage="0" bottom="0" percent="0" rank="0" text="" dxfId="0"/>
  </conditionalFormatting>
  <conditionalFormatting sqref="C2">
    <cfRule type="duplicateValues" priority="3" aboveAverage="0" equalAverage="0" bottom="0" percent="0" rank="0" text="" dxfId="1"/>
  </conditionalFormatting>
  <conditionalFormatting sqref="B2">
    <cfRule type="duplicateValues" priority="4" aboveAverage="0" equalAverage="0" bottom="0" percent="0" rank="0" text="" dxfId="2"/>
  </conditionalFormatting>
  <conditionalFormatting sqref="E3:F3">
    <cfRule type="duplicateValues" priority="5" aboveAverage="0" equalAverage="0" bottom="0" percent="0" rank="0" text="" dxfId="3"/>
  </conditionalFormatting>
  <conditionalFormatting sqref="E2:F2">
    <cfRule type="duplicateValues" priority="6" aboveAverage="0" equalAverage="0" bottom="0" percent="0" rank="0" text="" dxfId="4"/>
  </conditionalFormatting>
  <conditionalFormatting sqref="E5:F5">
    <cfRule type="duplicateValues" priority="7" aboveAverage="0" equalAverage="0" bottom="0" percent="0" rank="0" text="" dxfId="5"/>
  </conditionalFormatting>
  <conditionalFormatting sqref="E4:F4">
    <cfRule type="duplicateValues" priority="8" aboveAverage="0" equalAverage="0" bottom="0" percent="0" rank="0" text="" dxfId="6"/>
  </conditionalFormatting>
  <conditionalFormatting sqref="E3:F3">
    <cfRule type="duplicateValues" priority="9" aboveAverage="0" equalAverage="0" bottom="0" percent="0" rank="0" text="" dxfId="7"/>
  </conditionalFormatting>
  <conditionalFormatting sqref="E6:F6">
    <cfRule type="duplicateValues" priority="10" aboveAverage="0" equalAverage="0" bottom="0" percent="0" rank="0" text="" dxfId="8"/>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T100"/>
  <sheetViews>
    <sheetView showFormulas="false" showGridLines="false" showRowColHeaders="true" showZeros="true" rightToLeft="false" tabSelected="false" showOutlineSymbols="true" defaultGridColor="true" view="normal" topLeftCell="I1" colorId="64" zoomScale="100" zoomScaleNormal="100" zoomScalePageLayoutView="100" workbookViewId="0">
      <pane xSplit="0" ySplit="2" topLeftCell="A3" activePane="bottomLeft" state="frozen"/>
      <selection pane="topLeft" activeCell="I1" activeCellId="0" sqref="I1"/>
      <selection pane="bottomLeft" activeCell="P9" activeCellId="1" sqref="4:8 P9"/>
    </sheetView>
  </sheetViews>
  <sheetFormatPr defaultColWidth="8.72265625" defaultRowHeight="14.25" zeroHeight="false" outlineLevelRow="0" outlineLevelCol="0"/>
  <cols>
    <col collapsed="false" customWidth="true" hidden="false" outlineLevel="0" max="1" min="1" style="26" width="11.72"/>
    <col collapsed="false" customWidth="true" hidden="false" outlineLevel="0" max="2" min="2" style="26" width="8.27"/>
    <col collapsed="false" customWidth="true" hidden="false" outlineLevel="0" max="3" min="3" style="26" width="13.63"/>
    <col collapsed="false" customWidth="true" hidden="false" outlineLevel="0" max="4" min="4" style="26" width="18.45"/>
    <col collapsed="false" customWidth="true" hidden="false" outlineLevel="0" max="5" min="5" style="26" width="25.81"/>
    <col collapsed="false" customWidth="true" hidden="false" outlineLevel="0" max="6" min="6" style="26" width="12.09"/>
    <col collapsed="false" customWidth="true" hidden="false" outlineLevel="0" max="7" min="7" style="27" width="13.72"/>
    <col collapsed="false" customWidth="true" hidden="false" outlineLevel="0" max="8" min="8" style="27" width="12.82"/>
    <col collapsed="false" customWidth="true" hidden="false" outlineLevel="0" max="9" min="9" style="26" width="16.37"/>
    <col collapsed="false" customWidth="true" hidden="false" outlineLevel="0" max="10" min="10" style="26" width="14.36"/>
    <col collapsed="false" customWidth="true" hidden="false" outlineLevel="0" max="11" min="11" style="26" width="26.81"/>
    <col collapsed="false" customWidth="true" hidden="false" outlineLevel="0" max="12" min="12" style="26" width="11.17"/>
    <col collapsed="false" customWidth="true" hidden="false" outlineLevel="0" max="13" min="13" style="26" width="15.83"/>
    <col collapsed="false" customWidth="true" hidden="false" outlineLevel="0" max="14" min="14" style="26" width="26.09"/>
    <col collapsed="false" customWidth="true" hidden="false" outlineLevel="0" max="15" min="15" style="26" width="19.18"/>
    <col collapsed="false" customWidth="true" hidden="false" outlineLevel="0" max="16" min="16" style="26" width="22.28"/>
    <col collapsed="false" customWidth="true" hidden="false" outlineLevel="0" max="17" min="17" style="26" width="6.46"/>
    <col collapsed="false" customWidth="true" hidden="false" outlineLevel="0" max="18" min="18" style="26" width="6.36"/>
    <col collapsed="false" customWidth="true" hidden="false" outlineLevel="0" max="19" min="19" style="26" width="6.73"/>
    <col collapsed="false" customWidth="true" hidden="false" outlineLevel="0" max="20" min="20" style="26" width="38.36"/>
    <col collapsed="false" customWidth="true" hidden="true" outlineLevel="0" max="34" min="21" style="28" width="9.14"/>
    <col collapsed="false" customWidth="false" hidden="true" outlineLevel="0" max="1024" min="35" style="28" width="8.72"/>
  </cols>
  <sheetData>
    <row r="1" s="29" customFormat="true" ht="45" hidden="false" customHeight="true" outlineLevel="0" collapsed="false">
      <c r="G1" s="30"/>
      <c r="H1" s="30"/>
    </row>
    <row r="2" customFormat="false" ht="14.25" hidden="false" customHeight="false" outlineLevel="0" collapsed="false">
      <c r="A2" s="31" t="s">
        <v>95</v>
      </c>
      <c r="B2" s="31" t="s">
        <v>1</v>
      </c>
      <c r="C2" s="31" t="s">
        <v>96</v>
      </c>
      <c r="D2" s="31" t="s">
        <v>97</v>
      </c>
      <c r="E2" s="32" t="s">
        <v>98</v>
      </c>
      <c r="F2" s="31" t="s">
        <v>99</v>
      </c>
      <c r="G2" s="33" t="s">
        <v>100</v>
      </c>
      <c r="H2" s="33" t="s">
        <v>101</v>
      </c>
      <c r="I2" s="31" t="s">
        <v>4</v>
      </c>
      <c r="J2" s="31" t="s">
        <v>102</v>
      </c>
      <c r="K2" s="31" t="s">
        <v>103</v>
      </c>
      <c r="L2" s="31" t="s">
        <v>104</v>
      </c>
      <c r="M2" s="31" t="s">
        <v>105</v>
      </c>
      <c r="N2" s="31" t="s">
        <v>106</v>
      </c>
      <c r="O2" s="31" t="s">
        <v>107</v>
      </c>
      <c r="P2" s="31" t="s">
        <v>108</v>
      </c>
      <c r="Q2" s="31" t="s">
        <v>109</v>
      </c>
      <c r="R2" s="31" t="s">
        <v>110</v>
      </c>
      <c r="S2" s="31" t="s">
        <v>111</v>
      </c>
      <c r="T2" s="31" t="s">
        <v>112</v>
      </c>
    </row>
    <row r="3" customFormat="false" ht="14.25" hidden="false" customHeight="false" outlineLevel="0" collapsed="false">
      <c r="A3" s="34" t="s">
        <v>113</v>
      </c>
      <c r="B3" s="26" t="s">
        <v>114</v>
      </c>
      <c r="C3" s="26" t="s">
        <v>115</v>
      </c>
      <c r="D3" s="35" t="s">
        <v>116</v>
      </c>
      <c r="E3" s="36" t="s">
        <v>117</v>
      </c>
      <c r="F3" s="26" t="s">
        <v>118</v>
      </c>
      <c r="G3" s="27" t="n">
        <v>44768</v>
      </c>
      <c r="H3" s="27" t="n">
        <v>44774</v>
      </c>
      <c r="I3" s="37" t="s">
        <v>119</v>
      </c>
      <c r="J3" s="38" t="s">
        <v>120</v>
      </c>
      <c r="K3" s="39" t="s">
        <v>121</v>
      </c>
      <c r="L3" s="40" t="s">
        <v>122</v>
      </c>
      <c r="M3" s="26" t="s">
        <v>123</v>
      </c>
      <c r="N3" s="37" t="s">
        <v>124</v>
      </c>
      <c r="O3" s="41" t="s">
        <v>125</v>
      </c>
      <c r="P3" s="38" t="s">
        <v>126</v>
      </c>
      <c r="Q3" s="38"/>
      <c r="R3" s="38"/>
      <c r="S3" s="38"/>
      <c r="T3" s="42"/>
    </row>
    <row r="4" customFormat="false" ht="14.25" hidden="false" customHeight="false" outlineLevel="0" collapsed="false">
      <c r="A4" s="34" t="s">
        <v>113</v>
      </c>
      <c r="B4" s="26" t="s">
        <v>127</v>
      </c>
      <c r="C4" s="26" t="s">
        <v>115</v>
      </c>
      <c r="D4" s="35" t="s">
        <v>128</v>
      </c>
      <c r="E4" s="43" t="s">
        <v>129</v>
      </c>
      <c r="F4" s="26" t="s">
        <v>118</v>
      </c>
      <c r="G4" s="27" t="n">
        <v>44768</v>
      </c>
      <c r="H4" s="27" t="s">
        <v>130</v>
      </c>
      <c r="I4" s="37" t="s">
        <v>131</v>
      </c>
      <c r="J4" s="38"/>
      <c r="K4" s="39" t="s">
        <v>132</v>
      </c>
      <c r="L4" s="40" t="s">
        <v>133</v>
      </c>
      <c r="M4" s="26" t="s">
        <v>123</v>
      </c>
      <c r="N4" s="44" t="s">
        <v>134</v>
      </c>
      <c r="O4" s="41" t="s">
        <v>135</v>
      </c>
      <c r="P4" s="38" t="s">
        <v>136</v>
      </c>
      <c r="Q4" s="38"/>
      <c r="R4" s="38"/>
      <c r="S4" s="38"/>
      <c r="T4" s="42"/>
    </row>
    <row r="5" customFormat="false" ht="14.25" hidden="false" customHeight="false" outlineLevel="0" collapsed="false">
      <c r="A5" s="34" t="s">
        <v>113</v>
      </c>
      <c r="B5" s="26" t="s">
        <v>137</v>
      </c>
      <c r="C5" s="26" t="s">
        <v>138</v>
      </c>
      <c r="D5" s="35" t="s">
        <v>139</v>
      </c>
      <c r="E5" s="43" t="s">
        <v>140</v>
      </c>
      <c r="F5" s="26" t="s">
        <v>118</v>
      </c>
      <c r="G5" s="27" t="n">
        <v>44768</v>
      </c>
      <c r="H5" s="27" t="n">
        <v>44782</v>
      </c>
      <c r="I5" s="37" t="s">
        <v>141</v>
      </c>
      <c r="J5" s="38"/>
      <c r="K5" s="39" t="s">
        <v>142</v>
      </c>
      <c r="L5" s="40"/>
      <c r="M5" s="26" t="s">
        <v>143</v>
      </c>
      <c r="N5" s="44" t="s">
        <v>144</v>
      </c>
      <c r="O5" s="41" t="s">
        <v>145</v>
      </c>
      <c r="P5" s="38" t="s">
        <v>146</v>
      </c>
      <c r="Q5" s="38" t="n">
        <v>3</v>
      </c>
      <c r="R5" s="38" t="n">
        <v>2</v>
      </c>
      <c r="S5" s="38"/>
      <c r="T5" s="42"/>
    </row>
    <row r="6" customFormat="false" ht="14.25" hidden="false" customHeight="false" outlineLevel="0" collapsed="false">
      <c r="A6" s="34" t="s">
        <v>113</v>
      </c>
      <c r="B6" s="26" t="s">
        <v>147</v>
      </c>
      <c r="C6" s="26" t="s">
        <v>115</v>
      </c>
      <c r="D6" s="35" t="s">
        <v>139</v>
      </c>
      <c r="E6" s="43" t="s">
        <v>148</v>
      </c>
      <c r="F6" s="26" t="s">
        <v>118</v>
      </c>
      <c r="G6" s="27" t="n">
        <v>44768</v>
      </c>
      <c r="H6" s="27" t="s">
        <v>130</v>
      </c>
      <c r="I6" s="40" t="s">
        <v>149</v>
      </c>
      <c r="J6" s="38"/>
      <c r="K6" s="39" t="s">
        <v>150</v>
      </c>
      <c r="L6" s="45"/>
      <c r="M6" s="26" t="s">
        <v>143</v>
      </c>
      <c r="N6" s="37" t="s">
        <v>151</v>
      </c>
      <c r="O6" s="41" t="s">
        <v>152</v>
      </c>
      <c r="P6" s="38" t="s">
        <v>153</v>
      </c>
      <c r="Q6" s="38"/>
      <c r="R6" s="38"/>
      <c r="S6" s="38"/>
      <c r="T6" s="42"/>
    </row>
    <row r="7" customFormat="false" ht="14.25" hidden="false" customHeight="false" outlineLevel="0" collapsed="false">
      <c r="A7" s="34" t="s">
        <v>154</v>
      </c>
      <c r="B7" s="26" t="s">
        <v>6</v>
      </c>
      <c r="C7" s="26" t="s">
        <v>155</v>
      </c>
      <c r="D7" s="35" t="s">
        <v>139</v>
      </c>
      <c r="E7" s="43" t="s">
        <v>156</v>
      </c>
      <c r="F7" s="26" t="s">
        <v>157</v>
      </c>
      <c r="G7" s="27" t="n">
        <v>44768</v>
      </c>
      <c r="H7" s="27" t="n">
        <v>44770</v>
      </c>
      <c r="I7" s="37" t="s">
        <v>158</v>
      </c>
      <c r="J7" s="38" t="s">
        <v>159</v>
      </c>
      <c r="K7" s="39" t="s">
        <v>160</v>
      </c>
      <c r="L7" s="40" t="s">
        <v>161</v>
      </c>
      <c r="M7" s="26" t="s">
        <v>123</v>
      </c>
      <c r="N7" s="37"/>
      <c r="O7" s="41" t="s">
        <v>125</v>
      </c>
      <c r="P7" s="38" t="s">
        <v>162</v>
      </c>
      <c r="Q7" s="38"/>
      <c r="R7" s="38"/>
      <c r="S7" s="38"/>
      <c r="T7" s="42"/>
    </row>
    <row r="8" customFormat="false" ht="14.25" hidden="false" customHeight="false" outlineLevel="0" collapsed="false">
      <c r="A8" s="34" t="s">
        <v>163</v>
      </c>
      <c r="B8" s="26" t="s">
        <v>164</v>
      </c>
      <c r="C8" s="26" t="s">
        <v>138</v>
      </c>
      <c r="D8" s="35" t="s">
        <v>165</v>
      </c>
      <c r="E8" s="3" t="s">
        <v>166</v>
      </c>
      <c r="F8" s="26" t="s">
        <v>118</v>
      </c>
      <c r="G8" s="27" t="n">
        <v>44768</v>
      </c>
      <c r="H8" s="27" t="s">
        <v>130</v>
      </c>
      <c r="I8" s="37" t="s">
        <v>167</v>
      </c>
      <c r="J8" s="38"/>
      <c r="K8" s="46" t="s">
        <v>168</v>
      </c>
      <c r="L8" s="40" t="s">
        <v>169</v>
      </c>
      <c r="M8" s="26" t="s">
        <v>123</v>
      </c>
      <c r="N8" s="37" t="s">
        <v>170</v>
      </c>
      <c r="O8" s="41" t="s">
        <v>171</v>
      </c>
      <c r="P8" s="38" t="s">
        <v>136</v>
      </c>
      <c r="Q8" s="38"/>
      <c r="R8" s="38"/>
      <c r="S8" s="38"/>
      <c r="T8" s="42"/>
    </row>
    <row r="9" customFormat="false" ht="14.25" hidden="false" customHeight="false" outlineLevel="0" collapsed="false">
      <c r="A9" s="34"/>
      <c r="D9" s="35"/>
      <c r="E9" s="43"/>
      <c r="I9" s="37"/>
      <c r="J9" s="38"/>
      <c r="K9" s="38"/>
      <c r="L9" s="40"/>
      <c r="N9" s="37"/>
      <c r="O9" s="41" t="s">
        <v>135</v>
      </c>
      <c r="P9" s="38"/>
      <c r="Q9" s="38"/>
      <c r="R9" s="38"/>
      <c r="S9" s="38"/>
      <c r="T9" s="42"/>
    </row>
    <row r="10" customFormat="false" ht="14.25" hidden="false" customHeight="false" outlineLevel="0" collapsed="false">
      <c r="A10" s="34"/>
      <c r="D10" s="35"/>
      <c r="E10" s="47"/>
      <c r="I10" s="37"/>
      <c r="J10" s="38"/>
      <c r="K10" s="39"/>
      <c r="L10" s="40"/>
      <c r="N10" s="37"/>
      <c r="O10" s="41"/>
      <c r="P10" s="38"/>
      <c r="Q10" s="38"/>
      <c r="R10" s="38"/>
      <c r="S10" s="38"/>
      <c r="T10" s="42"/>
    </row>
    <row r="11" customFormat="false" ht="14.25" hidden="false" customHeight="false" outlineLevel="0" collapsed="false">
      <c r="A11" s="34"/>
      <c r="D11" s="35"/>
      <c r="E11" s="47"/>
      <c r="I11" s="37"/>
      <c r="J11" s="38"/>
      <c r="K11" s="39"/>
      <c r="L11" s="40"/>
      <c r="N11" s="40"/>
      <c r="O11" s="41"/>
      <c r="P11" s="38"/>
      <c r="Q11" s="38"/>
      <c r="R11" s="38"/>
      <c r="S11" s="38"/>
      <c r="T11" s="42"/>
    </row>
    <row r="12" customFormat="false" ht="14.25" hidden="false" customHeight="false" outlineLevel="0" collapsed="false">
      <c r="A12" s="34"/>
      <c r="D12" s="35"/>
      <c r="E12" s="47"/>
      <c r="I12" s="37"/>
      <c r="J12" s="38"/>
      <c r="K12" s="39"/>
      <c r="L12" s="40"/>
      <c r="N12" s="37"/>
      <c r="O12" s="41"/>
      <c r="P12" s="38"/>
      <c r="Q12" s="38"/>
      <c r="R12" s="38"/>
      <c r="S12" s="38"/>
      <c r="T12" s="48"/>
    </row>
    <row r="13" customFormat="false" ht="14.25" hidden="false" customHeight="false" outlineLevel="0" collapsed="false">
      <c r="A13" s="34"/>
      <c r="C13" s="43"/>
      <c r="D13" s="38"/>
      <c r="E13" s="43"/>
      <c r="I13" s="37"/>
      <c r="J13" s="38"/>
      <c r="K13" s="39"/>
      <c r="L13" s="40"/>
      <c r="N13" s="37"/>
      <c r="O13" s="41"/>
      <c r="P13" s="38"/>
      <c r="Q13" s="38"/>
      <c r="R13" s="38"/>
      <c r="S13" s="38"/>
      <c r="T13" s="42"/>
    </row>
    <row r="14" customFormat="false" ht="14.25" hidden="false" customHeight="false" outlineLevel="0" collapsed="false">
      <c r="A14" s="34"/>
      <c r="C14" s="43"/>
      <c r="D14" s="38"/>
      <c r="E14" s="43"/>
      <c r="I14" s="37"/>
      <c r="J14" s="38"/>
      <c r="K14" s="39"/>
      <c r="L14" s="40"/>
      <c r="N14" s="37"/>
      <c r="O14" s="41"/>
      <c r="P14" s="38"/>
      <c r="Q14" s="38"/>
      <c r="R14" s="38"/>
      <c r="S14" s="38"/>
      <c r="T14" s="42"/>
    </row>
    <row r="15" customFormat="false" ht="14.25" hidden="false" customHeight="false" outlineLevel="0" collapsed="false">
      <c r="A15" s="34"/>
      <c r="C15" s="43"/>
      <c r="D15" s="38"/>
      <c r="E15" s="43"/>
      <c r="I15" s="37"/>
      <c r="J15" s="38"/>
      <c r="K15" s="39"/>
      <c r="L15" s="40"/>
      <c r="N15" s="37"/>
      <c r="O15" s="41"/>
      <c r="P15" s="38"/>
      <c r="Q15" s="38"/>
      <c r="R15" s="38"/>
      <c r="S15" s="38"/>
      <c r="T15" s="42"/>
    </row>
    <row r="16" customFormat="false" ht="14.25" hidden="false" customHeight="false" outlineLevel="0" collapsed="false">
      <c r="A16" s="34"/>
      <c r="D16" s="38"/>
      <c r="E16" s="49"/>
      <c r="I16" s="37"/>
      <c r="J16" s="38"/>
      <c r="K16" s="39"/>
      <c r="L16" s="40"/>
      <c r="N16" s="37"/>
      <c r="O16" s="41"/>
      <c r="P16" s="38"/>
      <c r="Q16" s="38"/>
      <c r="R16" s="38"/>
      <c r="S16" s="38"/>
      <c r="T16" s="42"/>
    </row>
    <row r="17" customFormat="false" ht="14.25" hidden="false" customHeight="false" outlineLevel="0" collapsed="false">
      <c r="A17" s="34"/>
      <c r="D17" s="38"/>
      <c r="E17" s="49"/>
      <c r="I17" s="37"/>
      <c r="J17" s="38"/>
      <c r="K17" s="39"/>
      <c r="L17" s="40"/>
      <c r="N17" s="37"/>
      <c r="O17" s="41"/>
      <c r="P17" s="38"/>
      <c r="Q17" s="38"/>
      <c r="R17" s="38"/>
      <c r="S17" s="38"/>
      <c r="T17" s="42"/>
    </row>
    <row r="18" customFormat="false" ht="14.25" hidden="false" customHeight="false" outlineLevel="0" collapsed="false">
      <c r="A18" s="34"/>
      <c r="D18" s="38"/>
      <c r="E18" s="49"/>
      <c r="I18" s="37"/>
      <c r="J18" s="38"/>
      <c r="K18" s="39"/>
      <c r="L18" s="40"/>
      <c r="N18" s="37"/>
      <c r="O18" s="41"/>
      <c r="P18" s="38"/>
      <c r="Q18" s="38"/>
      <c r="R18" s="38"/>
      <c r="S18" s="38"/>
      <c r="T18" s="42"/>
    </row>
    <row r="19" customFormat="false" ht="14.25" hidden="false" customHeight="false" outlineLevel="0" collapsed="false">
      <c r="A19" s="34"/>
      <c r="D19" s="38"/>
      <c r="E19" s="49"/>
      <c r="I19" s="37"/>
      <c r="J19" s="38"/>
      <c r="K19" s="39"/>
      <c r="L19" s="40"/>
      <c r="N19" s="37"/>
      <c r="O19" s="41"/>
      <c r="P19" s="38"/>
      <c r="Q19" s="38"/>
      <c r="R19" s="38"/>
      <c r="S19" s="38"/>
      <c r="T19" s="42"/>
    </row>
    <row r="20" customFormat="false" ht="14.25" hidden="false" customHeight="false" outlineLevel="0" collapsed="false">
      <c r="A20" s="34"/>
      <c r="D20" s="38"/>
      <c r="E20" s="49"/>
      <c r="I20" s="37"/>
      <c r="J20" s="38"/>
      <c r="K20" s="39"/>
      <c r="L20" s="40"/>
      <c r="N20" s="37"/>
      <c r="O20" s="41"/>
      <c r="P20" s="38"/>
      <c r="Q20" s="38"/>
      <c r="R20" s="38"/>
      <c r="S20" s="38"/>
      <c r="T20" s="42"/>
    </row>
    <row r="21" customFormat="false" ht="14.25" hidden="false" customHeight="false" outlineLevel="0" collapsed="false">
      <c r="A21" s="34"/>
      <c r="D21" s="38"/>
      <c r="E21" s="49"/>
      <c r="I21" s="37"/>
      <c r="J21" s="38"/>
      <c r="K21" s="39"/>
      <c r="L21" s="40"/>
      <c r="N21" s="37"/>
      <c r="O21" s="41"/>
      <c r="P21" s="38"/>
      <c r="Q21" s="38"/>
      <c r="R21" s="38"/>
      <c r="S21" s="38"/>
      <c r="T21" s="42"/>
    </row>
    <row r="22" customFormat="false" ht="14.25" hidden="false" customHeight="false" outlineLevel="0" collapsed="false">
      <c r="A22" s="34"/>
      <c r="E22" s="50"/>
      <c r="I22" s="51"/>
      <c r="L22" s="51"/>
      <c r="N22" s="51"/>
      <c r="O22" s="41"/>
      <c r="T22" s="42"/>
    </row>
    <row r="23" customFormat="false" ht="14.25" hidden="false" customHeight="false" outlineLevel="0" collapsed="false">
      <c r="A23" s="34"/>
      <c r="E23" s="52"/>
      <c r="I23" s="51"/>
      <c r="L23" s="51"/>
      <c r="N23" s="51"/>
      <c r="O23" s="41"/>
      <c r="T23" s="42"/>
    </row>
    <row r="24" customFormat="false" ht="14.25" hidden="false" customHeight="false" outlineLevel="0" collapsed="false">
      <c r="A24" s="34"/>
      <c r="E24" s="52"/>
      <c r="I24" s="51"/>
      <c r="L24" s="51"/>
      <c r="N24" s="51"/>
      <c r="O24" s="41"/>
      <c r="T24" s="42"/>
    </row>
    <row r="25" customFormat="false" ht="14.25" hidden="false" customHeight="false" outlineLevel="0" collapsed="false">
      <c r="A25" s="34"/>
      <c r="E25" s="52"/>
      <c r="I25" s="51"/>
      <c r="L25" s="51"/>
      <c r="N25" s="51"/>
      <c r="O25" s="41"/>
      <c r="T25" s="42"/>
    </row>
    <row r="26" customFormat="false" ht="14.25" hidden="false" customHeight="false" outlineLevel="0" collapsed="false">
      <c r="A26" s="34"/>
      <c r="E26" s="52"/>
      <c r="I26" s="51"/>
      <c r="L26" s="51"/>
      <c r="N26" s="51"/>
      <c r="O26" s="41"/>
      <c r="T26" s="42"/>
    </row>
    <row r="27" customFormat="false" ht="14.25" hidden="false" customHeight="false" outlineLevel="0" collapsed="false">
      <c r="A27" s="34"/>
      <c r="E27" s="52"/>
      <c r="I27" s="51"/>
      <c r="L27" s="51"/>
      <c r="N27" s="51"/>
      <c r="O27" s="41"/>
      <c r="T27" s="42"/>
    </row>
    <row r="28" customFormat="false" ht="14.25" hidden="false" customHeight="false" outlineLevel="0" collapsed="false">
      <c r="A28" s="34"/>
      <c r="E28" s="52"/>
      <c r="I28" s="51"/>
      <c r="L28" s="51"/>
      <c r="N28" s="51"/>
      <c r="O28" s="41"/>
      <c r="T28" s="42"/>
    </row>
    <row r="29" customFormat="false" ht="14.25" hidden="false" customHeight="false" outlineLevel="0" collapsed="false">
      <c r="A29" s="34"/>
      <c r="E29" s="52"/>
      <c r="I29" s="51"/>
      <c r="L29" s="51"/>
      <c r="N29" s="51"/>
      <c r="O29" s="41"/>
      <c r="T29" s="42"/>
    </row>
    <row r="30" customFormat="false" ht="14.25" hidden="false" customHeight="false" outlineLevel="0" collapsed="false">
      <c r="A30" s="34"/>
      <c r="E30" s="52"/>
      <c r="I30" s="51"/>
      <c r="L30" s="51"/>
      <c r="N30" s="51"/>
      <c r="O30" s="41"/>
      <c r="T30" s="42"/>
    </row>
    <row r="31" customFormat="false" ht="14.25" hidden="false" customHeight="false" outlineLevel="0" collapsed="false">
      <c r="A31" s="34"/>
      <c r="E31" s="52"/>
      <c r="I31" s="51"/>
      <c r="L31" s="51"/>
      <c r="N31" s="51"/>
      <c r="O31" s="41"/>
      <c r="T31" s="42"/>
    </row>
    <row r="32" customFormat="false" ht="14.25" hidden="false" customHeight="false" outlineLevel="0" collapsed="false">
      <c r="A32" s="34"/>
      <c r="E32" s="50"/>
      <c r="I32" s="51"/>
      <c r="L32" s="51"/>
      <c r="N32" s="51"/>
      <c r="O32" s="41"/>
      <c r="T32" s="42"/>
    </row>
    <row r="33" customFormat="false" ht="14.25" hidden="false" customHeight="false" outlineLevel="0" collapsed="false">
      <c r="A33" s="34"/>
      <c r="E33" s="50"/>
      <c r="I33" s="51"/>
      <c r="L33" s="51"/>
      <c r="N33" s="51"/>
      <c r="O33" s="41"/>
      <c r="T33" s="42"/>
    </row>
    <row r="34" customFormat="false" ht="14.25" hidden="false" customHeight="false" outlineLevel="0" collapsed="false">
      <c r="A34" s="34"/>
      <c r="E34" s="50"/>
      <c r="I34" s="51"/>
      <c r="L34" s="51"/>
      <c r="N34" s="51"/>
      <c r="O34" s="41"/>
      <c r="T34" s="42"/>
    </row>
    <row r="35" customFormat="false" ht="14.25" hidden="false" customHeight="false" outlineLevel="0" collapsed="false">
      <c r="A35" s="34"/>
      <c r="E35" s="50"/>
      <c r="I35" s="51"/>
      <c r="L35" s="51"/>
      <c r="N35" s="51"/>
      <c r="O35" s="41"/>
      <c r="T35" s="42"/>
    </row>
    <row r="36" customFormat="false" ht="14.25" hidden="false" customHeight="false" outlineLevel="0" collapsed="false">
      <c r="A36" s="34"/>
      <c r="E36" s="50"/>
      <c r="I36" s="51"/>
      <c r="L36" s="51"/>
      <c r="N36" s="51"/>
      <c r="O36" s="41"/>
      <c r="T36" s="42"/>
    </row>
    <row r="37" customFormat="false" ht="14.25" hidden="false" customHeight="false" outlineLevel="0" collapsed="false">
      <c r="A37" s="34"/>
      <c r="E37" s="50"/>
      <c r="I37" s="51"/>
      <c r="L37" s="51"/>
      <c r="N37" s="51"/>
      <c r="O37" s="41"/>
      <c r="T37" s="42"/>
    </row>
    <row r="38" customFormat="false" ht="14.25" hidden="false" customHeight="false" outlineLevel="0" collapsed="false">
      <c r="A38" s="34"/>
      <c r="E38" s="50"/>
      <c r="I38" s="51"/>
      <c r="L38" s="51"/>
      <c r="N38" s="51"/>
      <c r="O38" s="41"/>
      <c r="T38" s="42"/>
    </row>
    <row r="39" customFormat="false" ht="14.25" hidden="false" customHeight="false" outlineLevel="0" collapsed="false">
      <c r="A39" s="34"/>
      <c r="E39" s="50"/>
      <c r="I39" s="51"/>
      <c r="L39" s="51"/>
      <c r="N39" s="51"/>
      <c r="O39" s="41"/>
      <c r="T39" s="42"/>
    </row>
    <row r="40" customFormat="false" ht="14.25" hidden="false" customHeight="false" outlineLevel="0" collapsed="false">
      <c r="A40" s="34"/>
      <c r="E40" s="50"/>
      <c r="I40" s="51"/>
      <c r="L40" s="51"/>
      <c r="N40" s="51"/>
      <c r="O40" s="41"/>
      <c r="T40" s="42"/>
    </row>
    <row r="41" customFormat="false" ht="14.25" hidden="false" customHeight="false" outlineLevel="0" collapsed="false">
      <c r="A41" s="34"/>
      <c r="E41" s="50"/>
      <c r="I41" s="51"/>
      <c r="L41" s="51"/>
      <c r="N41" s="51"/>
      <c r="O41" s="41"/>
      <c r="T41" s="42"/>
    </row>
    <row r="42" customFormat="false" ht="14.25" hidden="false" customHeight="false" outlineLevel="0" collapsed="false">
      <c r="A42" s="34"/>
      <c r="E42" s="50"/>
      <c r="I42" s="51"/>
      <c r="L42" s="51"/>
      <c r="N42" s="51"/>
      <c r="O42" s="41"/>
      <c r="T42" s="42"/>
    </row>
    <row r="43" customFormat="false" ht="14.25" hidden="false" customHeight="false" outlineLevel="0" collapsed="false">
      <c r="A43" s="34"/>
      <c r="E43" s="50"/>
      <c r="I43" s="51"/>
      <c r="L43" s="51"/>
      <c r="N43" s="51"/>
      <c r="O43" s="41"/>
      <c r="T43" s="42"/>
    </row>
    <row r="44" customFormat="false" ht="14.25" hidden="false" customHeight="false" outlineLevel="0" collapsed="false">
      <c r="A44" s="34"/>
      <c r="E44" s="50"/>
      <c r="I44" s="51"/>
      <c r="L44" s="51"/>
      <c r="N44" s="51"/>
      <c r="O44" s="41"/>
      <c r="T44" s="42"/>
    </row>
    <row r="45" customFormat="false" ht="14.25" hidden="false" customHeight="false" outlineLevel="0" collapsed="false">
      <c r="A45" s="34"/>
      <c r="E45" s="50"/>
      <c r="I45" s="51"/>
      <c r="L45" s="51"/>
      <c r="N45" s="51"/>
      <c r="O45" s="41"/>
      <c r="T45" s="42"/>
    </row>
    <row r="46" customFormat="false" ht="14.25" hidden="false" customHeight="false" outlineLevel="0" collapsed="false">
      <c r="A46" s="34"/>
      <c r="E46" s="50"/>
      <c r="I46" s="51"/>
      <c r="L46" s="51"/>
      <c r="N46" s="51"/>
      <c r="O46" s="41"/>
      <c r="T46" s="42"/>
    </row>
    <row r="47" customFormat="false" ht="14.25" hidden="false" customHeight="false" outlineLevel="0" collapsed="false">
      <c r="A47" s="34"/>
      <c r="E47" s="50"/>
      <c r="I47" s="51"/>
      <c r="L47" s="51"/>
      <c r="N47" s="51"/>
      <c r="O47" s="41"/>
      <c r="T47" s="42"/>
    </row>
    <row r="48" customFormat="false" ht="14.25" hidden="false" customHeight="false" outlineLevel="0" collapsed="false">
      <c r="A48" s="34"/>
      <c r="E48" s="50"/>
      <c r="I48" s="51"/>
      <c r="L48" s="51"/>
      <c r="N48" s="51"/>
      <c r="O48" s="41"/>
      <c r="T48" s="42"/>
    </row>
    <row r="49" customFormat="false" ht="14.25" hidden="false" customHeight="false" outlineLevel="0" collapsed="false">
      <c r="A49" s="34"/>
      <c r="E49" s="50"/>
      <c r="I49" s="51"/>
      <c r="L49" s="51"/>
      <c r="N49" s="51"/>
      <c r="O49" s="41"/>
      <c r="T49" s="42"/>
    </row>
    <row r="50" customFormat="false" ht="14.25" hidden="false" customHeight="false" outlineLevel="0" collapsed="false">
      <c r="A50" s="34"/>
      <c r="E50" s="50"/>
      <c r="I50" s="51"/>
      <c r="L50" s="51"/>
      <c r="N50" s="51"/>
      <c r="O50" s="41"/>
      <c r="T50" s="42"/>
    </row>
    <row r="51" customFormat="false" ht="14.25" hidden="false" customHeight="false" outlineLevel="0" collapsed="false">
      <c r="A51" s="34"/>
      <c r="E51" s="50"/>
      <c r="I51" s="51"/>
      <c r="L51" s="51"/>
      <c r="N51" s="51"/>
      <c r="O51" s="41"/>
      <c r="T51" s="42"/>
    </row>
    <row r="52" customFormat="false" ht="14.25" hidden="false" customHeight="false" outlineLevel="0" collapsed="false">
      <c r="A52" s="34"/>
      <c r="E52" s="50"/>
      <c r="I52" s="51"/>
      <c r="L52" s="51"/>
      <c r="N52" s="51"/>
      <c r="O52" s="41"/>
      <c r="T52" s="42"/>
    </row>
    <row r="53" customFormat="false" ht="14.25" hidden="false" customHeight="false" outlineLevel="0" collapsed="false">
      <c r="A53" s="34"/>
      <c r="E53" s="50"/>
      <c r="I53" s="51"/>
      <c r="L53" s="51"/>
      <c r="N53" s="51"/>
      <c r="O53" s="41"/>
      <c r="T53" s="42"/>
    </row>
    <row r="54" customFormat="false" ht="14.25" hidden="false" customHeight="false" outlineLevel="0" collapsed="false">
      <c r="A54" s="34"/>
      <c r="E54" s="50"/>
      <c r="I54" s="51"/>
      <c r="L54" s="51"/>
      <c r="N54" s="51"/>
      <c r="O54" s="41"/>
      <c r="T54" s="42"/>
    </row>
    <row r="55" customFormat="false" ht="14.25" hidden="false" customHeight="false" outlineLevel="0" collapsed="false">
      <c r="A55" s="34"/>
      <c r="E55" s="50"/>
      <c r="I55" s="51"/>
      <c r="L55" s="51"/>
      <c r="N55" s="51"/>
      <c r="O55" s="41"/>
      <c r="T55" s="42"/>
    </row>
    <row r="56" customFormat="false" ht="14.25" hidden="false" customHeight="false" outlineLevel="0" collapsed="false">
      <c r="A56" s="34"/>
      <c r="E56" s="50"/>
      <c r="I56" s="51"/>
      <c r="L56" s="51"/>
      <c r="N56" s="51"/>
      <c r="O56" s="41"/>
      <c r="T56" s="42"/>
    </row>
    <row r="57" customFormat="false" ht="14.25" hidden="false" customHeight="false" outlineLevel="0" collapsed="false">
      <c r="A57" s="34"/>
      <c r="E57" s="50"/>
      <c r="I57" s="51"/>
      <c r="L57" s="51"/>
      <c r="N57" s="51"/>
      <c r="O57" s="41"/>
      <c r="T57" s="42"/>
    </row>
    <row r="58" customFormat="false" ht="14.25" hidden="false" customHeight="false" outlineLevel="0" collapsed="false">
      <c r="A58" s="34"/>
      <c r="E58" s="50"/>
      <c r="I58" s="51"/>
      <c r="L58" s="51"/>
      <c r="N58" s="51"/>
      <c r="O58" s="41"/>
      <c r="T58" s="42"/>
    </row>
    <row r="59" customFormat="false" ht="14.25" hidden="false" customHeight="false" outlineLevel="0" collapsed="false">
      <c r="A59" s="34"/>
      <c r="E59" s="50"/>
      <c r="I59" s="51"/>
      <c r="L59" s="51"/>
      <c r="N59" s="51"/>
      <c r="O59" s="41"/>
      <c r="T59" s="42"/>
    </row>
    <row r="60" customFormat="false" ht="14.25" hidden="false" customHeight="false" outlineLevel="0" collapsed="false">
      <c r="A60" s="34"/>
      <c r="E60" s="50"/>
      <c r="I60" s="51"/>
      <c r="L60" s="51"/>
      <c r="N60" s="51"/>
      <c r="O60" s="41"/>
      <c r="T60" s="42"/>
    </row>
    <row r="61" customFormat="false" ht="14.25" hidden="false" customHeight="false" outlineLevel="0" collapsed="false">
      <c r="A61" s="34"/>
      <c r="E61" s="50"/>
      <c r="I61" s="51"/>
      <c r="L61" s="51"/>
      <c r="N61" s="51"/>
      <c r="O61" s="41"/>
      <c r="T61" s="42"/>
    </row>
    <row r="62" customFormat="false" ht="14.25" hidden="false" customHeight="false" outlineLevel="0" collapsed="false">
      <c r="A62" s="34"/>
      <c r="E62" s="50"/>
      <c r="I62" s="51"/>
      <c r="L62" s="51"/>
      <c r="N62" s="51"/>
      <c r="O62" s="41"/>
      <c r="T62" s="42"/>
    </row>
    <row r="63" customFormat="false" ht="14.25" hidden="false" customHeight="false" outlineLevel="0" collapsed="false">
      <c r="A63" s="34"/>
      <c r="E63" s="50"/>
      <c r="I63" s="51"/>
      <c r="L63" s="51"/>
      <c r="N63" s="51"/>
      <c r="O63" s="41"/>
      <c r="T63" s="42"/>
    </row>
    <row r="64" customFormat="false" ht="14.25" hidden="false" customHeight="false" outlineLevel="0" collapsed="false">
      <c r="A64" s="34"/>
      <c r="E64" s="50"/>
      <c r="I64" s="51"/>
      <c r="L64" s="51"/>
      <c r="N64" s="51"/>
      <c r="O64" s="41"/>
      <c r="T64" s="42"/>
    </row>
    <row r="65" customFormat="false" ht="14.25" hidden="false" customHeight="false" outlineLevel="0" collapsed="false">
      <c r="A65" s="34"/>
      <c r="E65" s="50"/>
      <c r="I65" s="51"/>
      <c r="L65" s="51"/>
      <c r="N65" s="51"/>
      <c r="O65" s="41"/>
      <c r="T65" s="42"/>
    </row>
    <row r="66" customFormat="false" ht="14.25" hidden="false" customHeight="false" outlineLevel="0" collapsed="false">
      <c r="A66" s="34"/>
      <c r="E66" s="50"/>
      <c r="I66" s="51"/>
      <c r="L66" s="51"/>
      <c r="N66" s="51"/>
      <c r="O66" s="41"/>
      <c r="T66" s="42"/>
    </row>
    <row r="67" customFormat="false" ht="14.25" hidden="false" customHeight="false" outlineLevel="0" collapsed="false">
      <c r="A67" s="34"/>
      <c r="E67" s="50"/>
      <c r="I67" s="51"/>
      <c r="L67" s="51"/>
      <c r="N67" s="51"/>
      <c r="O67" s="41"/>
      <c r="T67" s="42"/>
    </row>
    <row r="68" customFormat="false" ht="14.25" hidden="false" customHeight="false" outlineLevel="0" collapsed="false">
      <c r="A68" s="34"/>
      <c r="E68" s="50"/>
      <c r="I68" s="51"/>
      <c r="L68" s="51"/>
      <c r="N68" s="51"/>
      <c r="O68" s="41"/>
      <c r="T68" s="42"/>
    </row>
    <row r="69" customFormat="false" ht="14.25" hidden="false" customHeight="false" outlineLevel="0" collapsed="false">
      <c r="A69" s="34"/>
      <c r="E69" s="50"/>
      <c r="I69" s="51"/>
      <c r="L69" s="51"/>
      <c r="N69" s="51"/>
      <c r="O69" s="41"/>
      <c r="T69" s="42"/>
    </row>
    <row r="70" customFormat="false" ht="14.25" hidden="false" customHeight="false" outlineLevel="0" collapsed="false">
      <c r="A70" s="34"/>
      <c r="E70" s="50"/>
      <c r="I70" s="51"/>
      <c r="L70" s="51"/>
      <c r="N70" s="51"/>
      <c r="O70" s="41"/>
      <c r="T70" s="42"/>
    </row>
    <row r="71" customFormat="false" ht="14.25" hidden="false" customHeight="false" outlineLevel="0" collapsed="false">
      <c r="A71" s="34"/>
      <c r="E71" s="50"/>
      <c r="I71" s="51"/>
      <c r="L71" s="51"/>
      <c r="N71" s="51"/>
      <c r="O71" s="41"/>
      <c r="T71" s="42"/>
    </row>
    <row r="72" customFormat="false" ht="14.25" hidden="false" customHeight="false" outlineLevel="0" collapsed="false">
      <c r="A72" s="34"/>
      <c r="E72" s="50"/>
      <c r="I72" s="51"/>
      <c r="L72" s="51"/>
      <c r="N72" s="51"/>
      <c r="O72" s="41"/>
      <c r="T72" s="42"/>
    </row>
    <row r="73" customFormat="false" ht="14.25" hidden="false" customHeight="false" outlineLevel="0" collapsed="false">
      <c r="A73" s="34"/>
      <c r="E73" s="50"/>
      <c r="I73" s="51"/>
      <c r="L73" s="51"/>
      <c r="N73" s="51"/>
      <c r="O73" s="41"/>
      <c r="T73" s="42"/>
    </row>
    <row r="74" customFormat="false" ht="14.25" hidden="false" customHeight="false" outlineLevel="0" collapsed="false">
      <c r="A74" s="34"/>
      <c r="E74" s="50"/>
      <c r="I74" s="51"/>
      <c r="L74" s="51"/>
      <c r="N74" s="51"/>
      <c r="O74" s="41"/>
      <c r="T74" s="42"/>
    </row>
    <row r="75" customFormat="false" ht="14.25" hidden="false" customHeight="false" outlineLevel="0" collapsed="false">
      <c r="A75" s="34"/>
      <c r="E75" s="50"/>
      <c r="I75" s="51"/>
      <c r="L75" s="51"/>
      <c r="N75" s="51"/>
      <c r="O75" s="41"/>
      <c r="T75" s="42"/>
    </row>
    <row r="76" customFormat="false" ht="14.25" hidden="false" customHeight="false" outlineLevel="0" collapsed="false">
      <c r="A76" s="34"/>
      <c r="E76" s="50"/>
      <c r="I76" s="51"/>
      <c r="L76" s="51"/>
      <c r="N76" s="51"/>
      <c r="O76" s="41"/>
      <c r="T76" s="42"/>
    </row>
    <row r="77" customFormat="false" ht="14.25" hidden="false" customHeight="false" outlineLevel="0" collapsed="false">
      <c r="A77" s="34"/>
      <c r="E77" s="50"/>
      <c r="I77" s="51"/>
      <c r="L77" s="51"/>
      <c r="N77" s="51"/>
      <c r="O77" s="41"/>
      <c r="T77" s="42"/>
    </row>
    <row r="78" customFormat="false" ht="14.25" hidden="false" customHeight="false" outlineLevel="0" collapsed="false">
      <c r="A78" s="34"/>
      <c r="E78" s="50"/>
      <c r="I78" s="51"/>
      <c r="L78" s="51"/>
      <c r="N78" s="51"/>
      <c r="O78" s="41"/>
      <c r="T78" s="42"/>
    </row>
    <row r="79" customFormat="false" ht="14.25" hidden="false" customHeight="false" outlineLevel="0" collapsed="false">
      <c r="A79" s="34"/>
      <c r="E79" s="50"/>
      <c r="I79" s="51"/>
      <c r="L79" s="51"/>
      <c r="N79" s="51"/>
      <c r="O79" s="41"/>
      <c r="T79" s="42"/>
    </row>
    <row r="80" customFormat="false" ht="14.25" hidden="false" customHeight="false" outlineLevel="0" collapsed="false">
      <c r="A80" s="34"/>
      <c r="E80" s="50"/>
      <c r="I80" s="51"/>
      <c r="L80" s="51"/>
      <c r="N80" s="51"/>
      <c r="O80" s="41"/>
      <c r="T80" s="42"/>
    </row>
    <row r="81" customFormat="false" ht="14.25" hidden="false" customHeight="false" outlineLevel="0" collapsed="false">
      <c r="A81" s="34"/>
      <c r="E81" s="50"/>
      <c r="I81" s="51"/>
      <c r="L81" s="51"/>
      <c r="N81" s="51"/>
      <c r="O81" s="41"/>
      <c r="T81" s="42"/>
    </row>
    <row r="82" customFormat="false" ht="14.25" hidden="false" customHeight="false" outlineLevel="0" collapsed="false">
      <c r="A82" s="34"/>
      <c r="E82" s="50"/>
      <c r="I82" s="51"/>
      <c r="L82" s="51"/>
      <c r="N82" s="51"/>
      <c r="O82" s="41"/>
      <c r="T82" s="42"/>
    </row>
    <row r="83" customFormat="false" ht="14.25" hidden="false" customHeight="false" outlineLevel="0" collapsed="false">
      <c r="A83" s="34"/>
      <c r="E83" s="50"/>
      <c r="I83" s="51"/>
      <c r="L83" s="51"/>
      <c r="N83" s="51"/>
      <c r="O83" s="41"/>
      <c r="T83" s="42"/>
    </row>
    <row r="84" customFormat="false" ht="14.25" hidden="false" customHeight="false" outlineLevel="0" collapsed="false">
      <c r="A84" s="34"/>
      <c r="E84" s="50"/>
      <c r="I84" s="51"/>
      <c r="L84" s="51"/>
      <c r="N84" s="51"/>
      <c r="O84" s="41"/>
      <c r="T84" s="42"/>
    </row>
    <row r="85" customFormat="false" ht="14.25" hidden="false" customHeight="false" outlineLevel="0" collapsed="false">
      <c r="A85" s="34"/>
      <c r="E85" s="50"/>
      <c r="I85" s="51"/>
      <c r="L85" s="51"/>
      <c r="N85" s="51"/>
      <c r="O85" s="41"/>
      <c r="T85" s="42"/>
    </row>
    <row r="86" customFormat="false" ht="14.25" hidden="false" customHeight="false" outlineLevel="0" collapsed="false">
      <c r="A86" s="34"/>
      <c r="E86" s="50"/>
      <c r="I86" s="51"/>
      <c r="L86" s="51"/>
      <c r="N86" s="51"/>
      <c r="O86" s="41"/>
      <c r="T86" s="42"/>
    </row>
    <row r="87" customFormat="false" ht="14.25" hidden="false" customHeight="false" outlineLevel="0" collapsed="false">
      <c r="A87" s="34"/>
      <c r="E87" s="50"/>
      <c r="I87" s="51"/>
      <c r="L87" s="51"/>
      <c r="N87" s="51"/>
      <c r="O87" s="41"/>
      <c r="T87" s="42"/>
    </row>
    <row r="88" customFormat="false" ht="14.25" hidden="false" customHeight="false" outlineLevel="0" collapsed="false">
      <c r="A88" s="34"/>
      <c r="E88" s="50"/>
      <c r="I88" s="51"/>
      <c r="L88" s="51"/>
      <c r="N88" s="51"/>
      <c r="O88" s="41"/>
      <c r="T88" s="42"/>
    </row>
    <row r="89" customFormat="false" ht="14.25" hidden="false" customHeight="false" outlineLevel="0" collapsed="false">
      <c r="A89" s="34"/>
      <c r="E89" s="50"/>
      <c r="I89" s="51"/>
      <c r="L89" s="51"/>
      <c r="N89" s="51"/>
      <c r="O89" s="41"/>
      <c r="T89" s="42"/>
    </row>
    <row r="90" customFormat="false" ht="14.25" hidden="false" customHeight="false" outlineLevel="0" collapsed="false">
      <c r="A90" s="34"/>
      <c r="E90" s="50"/>
      <c r="I90" s="51"/>
      <c r="L90" s="51"/>
      <c r="N90" s="51"/>
      <c r="O90" s="41"/>
      <c r="T90" s="42"/>
    </row>
    <row r="91" customFormat="false" ht="14.25" hidden="false" customHeight="false" outlineLevel="0" collapsed="false">
      <c r="A91" s="34"/>
      <c r="E91" s="50"/>
      <c r="I91" s="51"/>
      <c r="L91" s="51"/>
      <c r="N91" s="51"/>
      <c r="O91" s="41"/>
      <c r="T91" s="42"/>
    </row>
    <row r="92" customFormat="false" ht="14.25" hidden="false" customHeight="false" outlineLevel="0" collapsed="false">
      <c r="A92" s="34"/>
      <c r="E92" s="50"/>
      <c r="I92" s="51"/>
      <c r="L92" s="51"/>
      <c r="N92" s="51"/>
      <c r="O92" s="41"/>
      <c r="T92" s="42"/>
    </row>
    <row r="93" customFormat="false" ht="14.25" hidden="false" customHeight="false" outlineLevel="0" collapsed="false">
      <c r="A93" s="34"/>
      <c r="E93" s="50"/>
      <c r="I93" s="51"/>
      <c r="L93" s="51"/>
      <c r="N93" s="51"/>
      <c r="O93" s="41"/>
      <c r="T93" s="42"/>
    </row>
    <row r="94" customFormat="false" ht="14.25" hidden="false" customHeight="false" outlineLevel="0" collapsed="false">
      <c r="A94" s="34"/>
      <c r="E94" s="50"/>
      <c r="I94" s="51"/>
      <c r="L94" s="51"/>
      <c r="N94" s="51"/>
      <c r="O94" s="41"/>
      <c r="T94" s="42"/>
    </row>
    <row r="95" customFormat="false" ht="14.25" hidden="false" customHeight="false" outlineLevel="0" collapsed="false">
      <c r="A95" s="34"/>
      <c r="E95" s="50"/>
      <c r="I95" s="51"/>
      <c r="L95" s="51"/>
      <c r="N95" s="51"/>
      <c r="O95" s="41"/>
      <c r="T95" s="42"/>
    </row>
    <row r="96" customFormat="false" ht="14.25" hidden="false" customHeight="false" outlineLevel="0" collapsed="false">
      <c r="A96" s="34"/>
      <c r="E96" s="50"/>
      <c r="I96" s="51"/>
      <c r="L96" s="51"/>
      <c r="N96" s="51"/>
      <c r="O96" s="41"/>
      <c r="T96" s="42"/>
    </row>
    <row r="97" customFormat="false" ht="14.25" hidden="false" customHeight="false" outlineLevel="0" collapsed="false">
      <c r="A97" s="34"/>
      <c r="E97" s="50"/>
      <c r="I97" s="51"/>
      <c r="L97" s="51"/>
      <c r="N97" s="51"/>
      <c r="O97" s="41"/>
      <c r="T97" s="42"/>
    </row>
    <row r="98" customFormat="false" ht="14.25" hidden="false" customHeight="false" outlineLevel="0" collapsed="false">
      <c r="A98" s="34"/>
      <c r="E98" s="50"/>
      <c r="I98" s="51"/>
      <c r="L98" s="51"/>
      <c r="N98" s="51"/>
      <c r="O98" s="41"/>
      <c r="T98" s="42"/>
    </row>
    <row r="99" customFormat="false" ht="14.25" hidden="false" customHeight="false" outlineLevel="0" collapsed="false">
      <c r="A99" s="34"/>
      <c r="E99" s="50"/>
      <c r="I99" s="51"/>
      <c r="L99" s="51"/>
      <c r="N99" s="51"/>
      <c r="O99" s="41"/>
      <c r="T99" s="42"/>
    </row>
    <row r="100" customFormat="false" ht="14.25" hidden="false" customHeight="false" outlineLevel="0" collapsed="false">
      <c r="A100" s="53"/>
      <c r="B100" s="38"/>
      <c r="C100" s="38"/>
      <c r="D100" s="38"/>
      <c r="E100" s="54"/>
      <c r="F100" s="38"/>
      <c r="G100" s="55"/>
      <c r="H100" s="55"/>
      <c r="I100" s="37"/>
      <c r="J100" s="38"/>
      <c r="K100" s="38"/>
      <c r="L100" s="37"/>
      <c r="M100" s="38"/>
      <c r="N100" s="37"/>
      <c r="O100" s="56"/>
      <c r="P100" s="38"/>
      <c r="Q100" s="38"/>
      <c r="R100" s="38"/>
      <c r="S100" s="38"/>
      <c r="T100" s="35"/>
    </row>
  </sheetData>
  <conditionalFormatting sqref="A2:T2">
    <cfRule type="duplicateValues" priority="2" aboveAverage="0" equalAverage="0" bottom="0" percent="0" rank="0" text="" dxfId="14"/>
  </conditionalFormatting>
  <dataValidations count="6">
    <dataValidation allowBlank="true" errorStyle="stop" operator="between" showDropDown="false" showErrorMessage="true" showInputMessage="true" sqref="F3:F31" type="list">
      <formula1>"Vibe,ST"</formula1>
      <formula2>0</formula2>
    </dataValidation>
    <dataValidation allowBlank="true" errorStyle="stop" operator="between" showDropDown="false" showErrorMessage="true" showInputMessage="true" sqref="A3:A1100" type="list">
      <formula1>"Manual,Tesla,Stark"</formula1>
      <formula2>0</formula2>
    </dataValidation>
    <dataValidation allowBlank="true" errorStyle="stop" operator="between" showDropDown="false" showErrorMessage="true" showInputMessage="true" sqref="P51:P1100" type="list">
      <formula1>$A$3:$A$36</formula1>
      <formula2>0</formula2>
    </dataValidation>
    <dataValidation allowBlank="true" errorStyle="stop" operator="between" showDropDown="false" showErrorMessage="true" showInputMessage="true" sqref="M3:M100" type="list">
      <formula1>"Yes,No"</formula1>
      <formula2>0</formula2>
    </dataValidation>
    <dataValidation allowBlank="true" errorStyle="stop" operator="between" showDropDown="false" showErrorMessage="true" showInputMessage="true" sqref="P3:P50" type="list">
      <formula1>Disclaimers!$A$3:$A$1048576</formula1>
      <formula2>0</formula2>
    </dataValidation>
    <dataValidation allowBlank="true" errorStyle="stop" operator="between" showDropDown="false" showErrorMessage="true" showInputMessage="true" sqref="O3:O100" type="list">
      <formula1>Utils!$C$3:$C$50</formula1>
      <formula2>0</formula2>
    </dataValidation>
  </dataValidations>
  <hyperlinks>
    <hyperlink ref="L3" r:id="rId2" display="https://t.corp.amazon.com/P68478343"/>
    <hyperlink ref="I6" r:id="rId3" display="https://www.worten.es/ofertas-promociones/grandes-electrodomesticos/de-aeg"/>
    <hyperlink ref="I7" r:id="rId4" display="https://www.jbhifi.com.au/pages/clickfrenzy"/>
    <hyperlink ref="L7" r:id="rId5" location="/view/e7669ce2-69e4-47f4-9fea-dc75c1240a7a" display="https://epi-fe.aka.amazon.com/vibe#/view/e7669ce2-69e4-47f4-9fea-dc75c1240a7a"/>
    <hyperlink ref="L8" r:id="rId6" display="https://t.corp.amazon.com/D52286448"/>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7"/>
  <legacyDrawing r:id="rId8"/>
  <tableParts>
    <tablePart r:id="rId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G5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F12" activeCellId="1" sqref="4:8 F12"/>
    </sheetView>
  </sheetViews>
  <sheetFormatPr defaultColWidth="8.72265625" defaultRowHeight="14.25" zeroHeight="false" outlineLevelRow="0" outlineLevelCol="0"/>
  <cols>
    <col collapsed="false" customWidth="true" hidden="false" outlineLevel="0" max="1" min="1" style="6" width="21"/>
    <col collapsed="false" customWidth="true" hidden="false" outlineLevel="0" max="2" min="2" style="6" width="26.72"/>
    <col collapsed="false" customWidth="true" hidden="false" outlineLevel="0" max="3" min="3" style="6" width="22.82"/>
    <col collapsed="false" customWidth="true" hidden="false" outlineLevel="0" max="4" min="4" style="57" width="23.09"/>
    <col collapsed="false" customWidth="true" hidden="false" outlineLevel="0" max="5" min="5" style="6" width="14"/>
    <col collapsed="false" customWidth="true" hidden="false" outlineLevel="0" max="6" min="6" style="6" width="29.63"/>
    <col collapsed="false" customWidth="true" hidden="false" outlineLevel="0" max="7" min="7" style="6" width="41.91"/>
    <col collapsed="false" customWidth="true" hidden="true" outlineLevel="0" max="8" min="8" style="6" width="9.14"/>
    <col collapsed="false" customWidth="false" hidden="true" outlineLevel="0" max="1024" min="9" style="6" width="8.72"/>
  </cols>
  <sheetData>
    <row r="1" customFormat="false" ht="45" hidden="false" customHeight="true" outlineLevel="0" collapsed="false"/>
    <row r="2" customFormat="false" ht="14.25" hidden="false" customHeight="false" outlineLevel="0" collapsed="false">
      <c r="A2" s="58" t="s">
        <v>4</v>
      </c>
      <c r="B2" s="58" t="s">
        <v>172</v>
      </c>
      <c r="C2" s="58" t="s">
        <v>2</v>
      </c>
      <c r="D2" s="59" t="s">
        <v>173</v>
      </c>
      <c r="E2" s="58" t="s">
        <v>174</v>
      </c>
      <c r="F2" s="58" t="s">
        <v>175</v>
      </c>
      <c r="G2" s="58" t="s">
        <v>176</v>
      </c>
    </row>
    <row r="3" customFormat="false" ht="14.25" hidden="false" customHeight="false" outlineLevel="0" collapsed="false">
      <c r="A3" s="3" t="s">
        <v>177</v>
      </c>
      <c r="B3" s="3" t="s">
        <v>178</v>
      </c>
      <c r="C3" s="3" t="s">
        <v>179</v>
      </c>
      <c r="D3" s="60" t="n">
        <f aca="true">IF(C3="", "", TODAY())</f>
        <v>44770</v>
      </c>
    </row>
    <row r="4" customFormat="false" ht="14.25" hidden="false" customHeight="false" outlineLevel="0" collapsed="false">
      <c r="A4" s="3" t="s">
        <v>180</v>
      </c>
      <c r="B4" s="3" t="s">
        <v>181</v>
      </c>
      <c r="C4" s="3" t="s">
        <v>179</v>
      </c>
      <c r="D4" s="60" t="n">
        <f aca="true">IF(C4="", "", TODAY())</f>
        <v>44770</v>
      </c>
    </row>
    <row r="5" customFormat="false" ht="14.25" hidden="false" customHeight="false" outlineLevel="0" collapsed="false">
      <c r="A5" s="3" t="s">
        <v>182</v>
      </c>
      <c r="B5" s="3" t="s">
        <v>183</v>
      </c>
      <c r="C5" s="3" t="s">
        <v>184</v>
      </c>
      <c r="D5" s="60" t="n">
        <f aca="true">IF(C5="", "", TODAY())</f>
        <v>44770</v>
      </c>
    </row>
    <row r="6" customFormat="false" ht="14.25" hidden="false" customHeight="false" outlineLevel="0" collapsed="false">
      <c r="A6" s="3" t="s">
        <v>185</v>
      </c>
      <c r="B6" s="3" t="s">
        <v>186</v>
      </c>
      <c r="C6" s="3" t="s">
        <v>184</v>
      </c>
      <c r="D6" s="60" t="n">
        <f aca="true">IF(C6="", "", TODAY())</f>
        <v>44770</v>
      </c>
    </row>
    <row r="7" customFormat="false" ht="14.25" hidden="false" customHeight="false" outlineLevel="0" collapsed="false">
      <c r="A7" s="3" t="s">
        <v>187</v>
      </c>
      <c r="B7" s="3" t="s">
        <v>188</v>
      </c>
      <c r="C7" s="3" t="s">
        <v>189</v>
      </c>
      <c r="D7" s="60" t="n">
        <f aca="true">IF(C7="", "", TODAY())</f>
        <v>44770</v>
      </c>
      <c r="G7" s="61" t="s">
        <v>190</v>
      </c>
    </row>
    <row r="8" customFormat="false" ht="14.25" hidden="false" customHeight="false" outlineLevel="0" collapsed="false">
      <c r="A8" s="3" t="s">
        <v>191</v>
      </c>
      <c r="B8" s="3" t="s">
        <v>192</v>
      </c>
      <c r="C8" s="3" t="s">
        <v>189</v>
      </c>
      <c r="D8" s="60" t="n">
        <f aca="true">IF(C8="", "", TODAY())</f>
        <v>44770</v>
      </c>
      <c r="F8" s="6" t="s">
        <v>193</v>
      </c>
    </row>
    <row r="9" customFormat="false" ht="14.25" hidden="false" customHeight="false" outlineLevel="0" collapsed="false">
      <c r="A9" s="3" t="s">
        <v>194</v>
      </c>
      <c r="B9" s="3" t="s">
        <v>195</v>
      </c>
      <c r="C9" s="3" t="s">
        <v>189</v>
      </c>
      <c r="D9" s="60" t="n">
        <f aca="true">IF(C9="", "", TODAY())</f>
        <v>44770</v>
      </c>
      <c r="F9" s="6" t="s">
        <v>193</v>
      </c>
    </row>
    <row r="10" customFormat="false" ht="14.25" hidden="false" customHeight="false" outlineLevel="0" collapsed="false">
      <c r="A10" s="3" t="s">
        <v>196</v>
      </c>
      <c r="B10" s="3" t="s">
        <v>197</v>
      </c>
      <c r="C10" s="3" t="s">
        <v>189</v>
      </c>
      <c r="D10" s="60" t="n">
        <f aca="true">IF(C10="", "", TODAY())</f>
        <v>44770</v>
      </c>
      <c r="G10" s="61" t="s">
        <v>198</v>
      </c>
    </row>
    <row r="11" customFormat="false" ht="14.25" hidden="false" customHeight="false" outlineLevel="0" collapsed="false">
      <c r="A11" s="3" t="s">
        <v>199</v>
      </c>
      <c r="B11" s="3" t="s">
        <v>200</v>
      </c>
      <c r="C11" s="3" t="s">
        <v>201</v>
      </c>
      <c r="D11" s="60" t="n">
        <f aca="true">IF(C11="", "", TODAY())</f>
        <v>44770</v>
      </c>
      <c r="E11" s="6" t="s">
        <v>123</v>
      </c>
      <c r="F11" s="6" t="s">
        <v>202</v>
      </c>
      <c r="G11" s="6" t="s">
        <v>203</v>
      </c>
    </row>
    <row r="12" customFormat="false" ht="14.25" hidden="false" customHeight="false" outlineLevel="0" collapsed="false">
      <c r="A12" s="3" t="s">
        <v>204</v>
      </c>
      <c r="B12" s="3" t="s">
        <v>205</v>
      </c>
      <c r="C12" s="3" t="s">
        <v>206</v>
      </c>
      <c r="D12" s="60" t="n">
        <f aca="true">IF(C12="", "", TODAY())</f>
        <v>44770</v>
      </c>
      <c r="G12" s="62" t="s">
        <v>169</v>
      </c>
    </row>
    <row r="13" customFormat="false" ht="14.25" hidden="false" customHeight="false" outlineLevel="0" collapsed="false">
      <c r="A13" s="3" t="s">
        <v>177</v>
      </c>
      <c r="B13" s="3" t="s">
        <v>178</v>
      </c>
      <c r="C13" s="3" t="s">
        <v>179</v>
      </c>
      <c r="D13" s="60" t="n">
        <f aca="true">IF(C13="", "", TODAY())</f>
        <v>44770</v>
      </c>
    </row>
    <row r="14" customFormat="false" ht="14.25" hidden="false" customHeight="false" outlineLevel="0" collapsed="false">
      <c r="D14" s="60" t="str">
        <f aca="true">IF(C14="", "", TODAY())</f>
        <v/>
      </c>
    </row>
    <row r="15" customFormat="false" ht="14.25" hidden="false" customHeight="false" outlineLevel="0" collapsed="false">
      <c r="D15" s="60" t="str">
        <f aca="true">IF(C15="", "", TODAY())</f>
        <v/>
      </c>
    </row>
    <row r="16" customFormat="false" ht="14.25" hidden="false" customHeight="false" outlineLevel="0" collapsed="false">
      <c r="D16" s="60" t="str">
        <f aca="true">IF(C16="", "", TODAY())</f>
        <v/>
      </c>
    </row>
    <row r="17" customFormat="false" ht="14.25" hidden="false" customHeight="false" outlineLevel="0" collapsed="false">
      <c r="D17" s="60" t="str">
        <f aca="true">IF(C17="", "", TODAY())</f>
        <v/>
      </c>
    </row>
    <row r="18" customFormat="false" ht="14.25" hidden="false" customHeight="false" outlineLevel="0" collapsed="false">
      <c r="D18" s="60" t="str">
        <f aca="true">IF(C18="", "", TODAY())</f>
        <v/>
      </c>
    </row>
    <row r="19" customFormat="false" ht="14.25" hidden="false" customHeight="false" outlineLevel="0" collapsed="false">
      <c r="D19" s="60" t="str">
        <f aca="true">IF(C19="", "", TODAY())</f>
        <v/>
      </c>
    </row>
    <row r="20" customFormat="false" ht="14.25" hidden="false" customHeight="false" outlineLevel="0" collapsed="false">
      <c r="D20" s="60" t="str">
        <f aca="true">IF(C20="", "", TODAY())</f>
        <v/>
      </c>
    </row>
    <row r="21" customFormat="false" ht="14.25" hidden="false" customHeight="false" outlineLevel="0" collapsed="false">
      <c r="D21" s="60" t="str">
        <f aca="true">IF(C21="", "", TODAY())</f>
        <v/>
      </c>
    </row>
    <row r="22" customFormat="false" ht="14.25" hidden="false" customHeight="false" outlineLevel="0" collapsed="false">
      <c r="D22" s="60" t="str">
        <f aca="true">IF(C22="", "", TODAY())</f>
        <v/>
      </c>
    </row>
    <row r="23" customFormat="false" ht="14.25" hidden="false" customHeight="false" outlineLevel="0" collapsed="false">
      <c r="D23" s="60" t="str">
        <f aca="true">IF(C23="", "", TODAY())</f>
        <v/>
      </c>
    </row>
    <row r="24" customFormat="false" ht="14.25" hidden="false" customHeight="false" outlineLevel="0" collapsed="false">
      <c r="D24" s="60" t="str">
        <f aca="true">IF(C24="", "", TODAY())</f>
        <v/>
      </c>
    </row>
    <row r="25" customFormat="false" ht="14.25" hidden="false" customHeight="false" outlineLevel="0" collapsed="false">
      <c r="D25" s="60" t="str">
        <f aca="true">IF(C25="", "", TODAY())</f>
        <v/>
      </c>
    </row>
    <row r="26" customFormat="false" ht="14.25" hidden="false" customHeight="false" outlineLevel="0" collapsed="false">
      <c r="D26" s="60" t="str">
        <f aca="true">IF(C26="", "", TODAY())</f>
        <v/>
      </c>
    </row>
    <row r="27" customFormat="false" ht="14.25" hidden="false" customHeight="false" outlineLevel="0" collapsed="false">
      <c r="D27" s="60" t="str">
        <f aca="true">IF(C27="", "", TODAY())</f>
        <v/>
      </c>
    </row>
    <row r="28" customFormat="false" ht="14.25" hidden="false" customHeight="false" outlineLevel="0" collapsed="false">
      <c r="D28" s="60" t="str">
        <f aca="true">IF(C28="", "", TODAY())</f>
        <v/>
      </c>
    </row>
    <row r="29" customFormat="false" ht="14.25" hidden="false" customHeight="false" outlineLevel="0" collapsed="false">
      <c r="D29" s="60" t="str">
        <f aca="true">IF(C29="", "", TODAY())</f>
        <v/>
      </c>
    </row>
    <row r="30" customFormat="false" ht="14.25" hidden="false" customHeight="false" outlineLevel="0" collapsed="false">
      <c r="D30" s="60" t="str">
        <f aca="true">IF(C30="", "", TODAY())</f>
        <v/>
      </c>
    </row>
    <row r="31" customFormat="false" ht="14.25" hidden="false" customHeight="false" outlineLevel="0" collapsed="false">
      <c r="D31" s="60" t="str">
        <f aca="true">IF(C31="", "", TODAY())</f>
        <v/>
      </c>
    </row>
    <row r="32" customFormat="false" ht="14.25" hidden="false" customHeight="false" outlineLevel="0" collapsed="false">
      <c r="D32" s="60" t="str">
        <f aca="true">IF(C32="", "", TODAY())</f>
        <v/>
      </c>
    </row>
    <row r="33" customFormat="false" ht="14.25" hidden="false" customHeight="false" outlineLevel="0" collapsed="false">
      <c r="D33" s="60" t="str">
        <f aca="true">IF(C33="", "", TODAY())</f>
        <v/>
      </c>
    </row>
    <row r="34" customFormat="false" ht="14.25" hidden="false" customHeight="false" outlineLevel="0" collapsed="false">
      <c r="D34" s="60" t="str">
        <f aca="true">IF(C34="", "", TODAY())</f>
        <v/>
      </c>
    </row>
    <row r="35" customFormat="false" ht="14.25" hidden="false" customHeight="false" outlineLevel="0" collapsed="false">
      <c r="D35" s="60" t="str">
        <f aca="true">IF(C35="", "", TODAY())</f>
        <v/>
      </c>
    </row>
    <row r="36" customFormat="false" ht="14.25" hidden="false" customHeight="false" outlineLevel="0" collapsed="false">
      <c r="D36" s="60" t="str">
        <f aca="true">IF(C36="", "", TODAY())</f>
        <v/>
      </c>
    </row>
    <row r="37" customFormat="false" ht="14.25" hidden="false" customHeight="false" outlineLevel="0" collapsed="false">
      <c r="D37" s="60" t="str">
        <f aca="true">IF(C37="", "", TODAY())</f>
        <v/>
      </c>
    </row>
    <row r="38" customFormat="false" ht="14.25" hidden="false" customHeight="false" outlineLevel="0" collapsed="false">
      <c r="D38" s="60" t="str">
        <f aca="true">IF(C38="", "", TODAY())</f>
        <v/>
      </c>
    </row>
    <row r="39" customFormat="false" ht="14.25" hidden="false" customHeight="false" outlineLevel="0" collapsed="false">
      <c r="D39" s="60" t="str">
        <f aca="true">IF(C39="", "", TODAY())</f>
        <v/>
      </c>
    </row>
    <row r="40" customFormat="false" ht="14.25" hidden="false" customHeight="false" outlineLevel="0" collapsed="false">
      <c r="D40" s="60" t="str">
        <f aca="true">IF(C40="", "", TODAY())</f>
        <v/>
      </c>
    </row>
    <row r="41" customFormat="false" ht="14.25" hidden="false" customHeight="false" outlineLevel="0" collapsed="false">
      <c r="D41" s="60" t="str">
        <f aca="true">IF(C41="", "", TODAY())</f>
        <v/>
      </c>
    </row>
    <row r="42" customFormat="false" ht="14.25" hidden="false" customHeight="false" outlineLevel="0" collapsed="false">
      <c r="D42" s="60" t="str">
        <f aca="true">IF(C42="", "", TODAY())</f>
        <v/>
      </c>
    </row>
    <row r="43" customFormat="false" ht="14.25" hidden="false" customHeight="false" outlineLevel="0" collapsed="false">
      <c r="D43" s="60" t="str">
        <f aca="true">IF(C43="", "", TODAY())</f>
        <v/>
      </c>
    </row>
    <row r="44" customFormat="false" ht="14.25" hidden="false" customHeight="false" outlineLevel="0" collapsed="false">
      <c r="D44" s="60" t="str">
        <f aca="true">IF(C44="", "", TODAY())</f>
        <v/>
      </c>
    </row>
    <row r="45" customFormat="false" ht="14.25" hidden="false" customHeight="false" outlineLevel="0" collapsed="false">
      <c r="D45" s="60" t="str">
        <f aca="true">IF(C45="", "", TODAY())</f>
        <v/>
      </c>
    </row>
    <row r="46" customFormat="false" ht="14.25" hidden="false" customHeight="false" outlineLevel="0" collapsed="false">
      <c r="D46" s="60" t="str">
        <f aca="true">IF(C46="", "", TODAY())</f>
        <v/>
      </c>
    </row>
    <row r="47" customFormat="false" ht="14.25" hidden="false" customHeight="false" outlineLevel="0" collapsed="false">
      <c r="D47" s="60" t="str">
        <f aca="true">IF(C47="", "", TODAY())</f>
        <v/>
      </c>
    </row>
    <row r="48" customFormat="false" ht="14.25" hidden="false" customHeight="false" outlineLevel="0" collapsed="false">
      <c r="D48" s="60" t="str">
        <f aca="true">IF(C48="", "", TODAY())</f>
        <v/>
      </c>
    </row>
    <row r="49" customFormat="false" ht="14.25" hidden="false" customHeight="false" outlineLevel="0" collapsed="false">
      <c r="D49" s="60" t="str">
        <f aca="true">IF(C49="", "", TODAY())</f>
        <v/>
      </c>
    </row>
    <row r="50" customFormat="false" ht="14.25" hidden="false" customHeight="false" outlineLevel="0" collapsed="false">
      <c r="D50" s="60" t="str">
        <f aca="true">IF(C50="", "", TODAY())</f>
        <v/>
      </c>
    </row>
  </sheetData>
  <sheetProtection sheet="true" objects="true" scenarios="true"/>
  <autoFilter ref="A2:G2"/>
  <conditionalFormatting sqref="B2">
    <cfRule type="duplicateValues" priority="2" aboveAverage="0" equalAverage="0" bottom="0" percent="0" rank="0" text="" dxfId="15"/>
  </conditionalFormatting>
  <conditionalFormatting sqref="B2">
    <cfRule type="duplicateValues" priority="3" aboveAverage="0" equalAverage="0" bottom="0" percent="0" rank="0" text="" dxfId="16"/>
  </conditionalFormatting>
  <conditionalFormatting sqref="A2">
    <cfRule type="duplicateValues" priority="4" aboveAverage="0" equalAverage="0" bottom="0" percent="0" rank="0" text="" dxfId="17"/>
  </conditionalFormatting>
  <conditionalFormatting sqref="B2">
    <cfRule type="duplicateValues" priority="5" aboveAverage="0" equalAverage="0" bottom="0" percent="0" rank="0" text="" dxfId="18"/>
  </conditionalFormatting>
  <dataValidations count="2">
    <dataValidation allowBlank="true" errorStyle="stop" operator="between" showDropDown="false" showErrorMessage="true" showInputMessage="true" sqref="E3:E50" type="list">
      <formula1>"Yes,No"</formula1>
      <formula2>0</formula2>
    </dataValidation>
    <dataValidation allowBlank="true" errorStyle="stop" operator="between" showDropDown="false" showErrorMessage="true" showInputMessage="true" sqref="F3:F50" type="list">
      <formula1>Utils!$A$3:$A$20</formula1>
      <formula2>0</formula2>
    </dataValidation>
  </dataValidations>
  <hyperlinks>
    <hyperlink ref="G7" r:id="rId1" display="https://t.corp.amazon.com/V647196898"/>
    <hyperlink ref="G10" r:id="rId2" display="https://t.corp.amazon.com/V647241086"/>
    <hyperlink ref="G12" r:id="rId3" display="https://t.corp.amazon.com/D52286448"/>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M4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14" activePane="bottomLeft" state="frozen"/>
      <selection pane="topLeft" activeCell="A1" activeCellId="0" sqref="A1"/>
      <selection pane="bottomLeft" activeCell="E61" activeCellId="1" sqref="4:8 E61"/>
    </sheetView>
  </sheetViews>
  <sheetFormatPr defaultColWidth="8.72265625" defaultRowHeight="14.25" zeroHeight="false" outlineLevelRow="0" outlineLevelCol="0"/>
  <cols>
    <col collapsed="false" customWidth="true" hidden="false" outlineLevel="0" max="1" min="1" style="2" width="16.54"/>
    <col collapsed="false" customWidth="true" hidden="false" outlineLevel="0" max="2" min="2" style="2" width="6"/>
    <col collapsed="false" customWidth="true" hidden="false" outlineLevel="0" max="3" min="3" style="2" width="25.54"/>
    <col collapsed="false" customWidth="true" hidden="false" outlineLevel="0" max="4" min="4" style="2" width="6.18"/>
    <col collapsed="false" customWidth="true" hidden="false" outlineLevel="0" max="5" min="5" style="2" width="50.28"/>
    <col collapsed="false" customWidth="true" hidden="false" outlineLevel="0" max="6" min="6" style="2" width="20.18"/>
    <col collapsed="false" customWidth="true" hidden="false" outlineLevel="0" max="7" min="7" style="2" width="14.27"/>
    <col collapsed="false" customWidth="true" hidden="false" outlineLevel="0" max="8" min="8" style="2" width="11.54"/>
    <col collapsed="false" customWidth="true" hidden="false" outlineLevel="0" max="9" min="9" style="2" width="42.63"/>
    <col collapsed="false" customWidth="false" hidden="true" outlineLevel="0" max="1024" min="10" style="2" width="8.72"/>
  </cols>
  <sheetData>
    <row r="1" customFormat="false" ht="45" hidden="false" customHeight="true" outlineLevel="0" collapsed="false"/>
    <row r="2" customFormat="false" ht="15" hidden="false" customHeight="false" outlineLevel="0" collapsed="false">
      <c r="A2" s="31" t="s">
        <v>207</v>
      </c>
      <c r="B2" s="31" t="s">
        <v>208</v>
      </c>
      <c r="C2" s="31" t="s">
        <v>2</v>
      </c>
      <c r="D2" s="31" t="s">
        <v>104</v>
      </c>
      <c r="E2" s="31" t="s">
        <v>209</v>
      </c>
      <c r="F2" s="31" t="s">
        <v>210</v>
      </c>
      <c r="G2" s="31" t="s">
        <v>211</v>
      </c>
      <c r="H2" s="31" t="s">
        <v>212</v>
      </c>
      <c r="I2" s="31" t="s">
        <v>213</v>
      </c>
    </row>
    <row r="3" customFormat="false" ht="15" hidden="false" customHeight="false" outlineLevel="0" collapsed="false">
      <c r="A3" s="63" t="s">
        <v>214</v>
      </c>
      <c r="B3" s="63" t="s">
        <v>114</v>
      </c>
      <c r="C3" s="63" t="s">
        <v>215</v>
      </c>
      <c r="D3" s="64" t="s">
        <v>216</v>
      </c>
      <c r="E3" s="63" t="s">
        <v>217</v>
      </c>
      <c r="F3" s="63" t="s">
        <v>218</v>
      </c>
      <c r="G3" s="63" t="s">
        <v>123</v>
      </c>
      <c r="H3" s="63"/>
      <c r="I3" s="65" t="s">
        <v>219</v>
      </c>
    </row>
    <row r="4" customFormat="false" ht="15" hidden="false" customHeight="false" outlineLevel="0" collapsed="false">
      <c r="A4" s="63" t="s">
        <v>214</v>
      </c>
      <c r="B4" s="63" t="s">
        <v>147</v>
      </c>
      <c r="C4" s="63" t="s">
        <v>220</v>
      </c>
      <c r="D4" s="64" t="s">
        <v>216</v>
      </c>
      <c r="E4" s="63" t="s">
        <v>217</v>
      </c>
      <c r="F4" s="63" t="s">
        <v>130</v>
      </c>
      <c r="G4" s="63"/>
      <c r="H4" s="63"/>
      <c r="I4" s="65" t="s">
        <v>219</v>
      </c>
    </row>
    <row r="5" customFormat="false" ht="15" hidden="false" customHeight="false" outlineLevel="0" collapsed="false">
      <c r="A5" s="63" t="s">
        <v>214</v>
      </c>
      <c r="B5" s="63" t="s">
        <v>164</v>
      </c>
      <c r="C5" s="63" t="s">
        <v>221</v>
      </c>
      <c r="D5" s="64" t="s">
        <v>216</v>
      </c>
      <c r="E5" s="63" t="s">
        <v>217</v>
      </c>
      <c r="F5" s="63" t="s">
        <v>130</v>
      </c>
      <c r="G5" s="63" t="s">
        <v>123</v>
      </c>
      <c r="H5" s="63" t="s">
        <v>222</v>
      </c>
      <c r="I5" s="65" t="s">
        <v>219</v>
      </c>
    </row>
    <row r="6" customFormat="false" ht="15" hidden="false" customHeight="false" outlineLevel="0" collapsed="false">
      <c r="A6" s="63" t="s">
        <v>214</v>
      </c>
      <c r="B6" s="63" t="s">
        <v>147</v>
      </c>
      <c r="C6" s="63" t="s">
        <v>223</v>
      </c>
      <c r="D6" s="64" t="s">
        <v>216</v>
      </c>
      <c r="E6" s="63" t="s">
        <v>217</v>
      </c>
      <c r="F6" s="63" t="s">
        <v>224</v>
      </c>
      <c r="G6" s="63" t="s">
        <v>123</v>
      </c>
      <c r="H6" s="63" t="s">
        <v>224</v>
      </c>
      <c r="I6" s="65" t="s">
        <v>219</v>
      </c>
      <c r="L6" s="2" t="s">
        <v>225</v>
      </c>
    </row>
    <row r="7" customFormat="false" ht="15" hidden="false" customHeight="false" outlineLevel="0" collapsed="false">
      <c r="A7" s="63" t="s">
        <v>214</v>
      </c>
      <c r="B7" s="63" t="s">
        <v>226</v>
      </c>
      <c r="C7" s="63" t="s">
        <v>227</v>
      </c>
      <c r="D7" s="64" t="s">
        <v>216</v>
      </c>
      <c r="E7" s="63" t="s">
        <v>217</v>
      </c>
      <c r="F7" s="63" t="s">
        <v>228</v>
      </c>
      <c r="G7" s="63" t="s">
        <v>123</v>
      </c>
      <c r="H7" s="63"/>
      <c r="I7" s="65" t="s">
        <v>229</v>
      </c>
    </row>
    <row r="8" customFormat="false" ht="15" hidden="false" customHeight="false" outlineLevel="0" collapsed="false">
      <c r="A8" s="63" t="s">
        <v>214</v>
      </c>
      <c r="B8" s="63" t="s">
        <v>230</v>
      </c>
      <c r="C8" s="63" t="s">
        <v>231</v>
      </c>
      <c r="D8" s="64" t="s">
        <v>216</v>
      </c>
      <c r="E8" s="63" t="s">
        <v>232</v>
      </c>
      <c r="F8" s="63" t="s">
        <v>233</v>
      </c>
      <c r="G8" s="63" t="s">
        <v>123</v>
      </c>
      <c r="H8" s="63" t="s">
        <v>233</v>
      </c>
      <c r="I8" s="66" t="s">
        <v>234</v>
      </c>
    </row>
    <row r="9" customFormat="false" ht="15" hidden="false" customHeight="false" outlineLevel="0" collapsed="false">
      <c r="A9" s="63" t="s">
        <v>214</v>
      </c>
      <c r="B9" s="63" t="s">
        <v>6</v>
      </c>
      <c r="C9" s="63" t="s">
        <v>235</v>
      </c>
      <c r="D9" s="64" t="s">
        <v>216</v>
      </c>
      <c r="E9" s="63" t="s">
        <v>236</v>
      </c>
      <c r="F9" s="63" t="s">
        <v>130</v>
      </c>
      <c r="G9" s="64" t="s">
        <v>123</v>
      </c>
      <c r="H9" s="63" t="s">
        <v>237</v>
      </c>
      <c r="I9" s="66" t="s">
        <v>238</v>
      </c>
    </row>
    <row r="10" customFormat="false" ht="15" hidden="false" customHeight="false" outlineLevel="0" collapsed="false">
      <c r="A10" s="63" t="s">
        <v>214</v>
      </c>
      <c r="B10" s="63" t="s">
        <v>230</v>
      </c>
      <c r="C10" s="63" t="s">
        <v>239</v>
      </c>
      <c r="D10" s="64" t="s">
        <v>216</v>
      </c>
      <c r="E10" s="63" t="s">
        <v>240</v>
      </c>
      <c r="F10" s="63" t="s">
        <v>218</v>
      </c>
      <c r="G10" s="63" t="s">
        <v>123</v>
      </c>
      <c r="H10" s="63"/>
      <c r="I10" s="66" t="s">
        <v>241</v>
      </c>
    </row>
    <row r="11" customFormat="false" ht="15" hidden="false" customHeight="false" outlineLevel="0" collapsed="false">
      <c r="A11" s="63" t="s">
        <v>214</v>
      </c>
      <c r="B11" s="63" t="s">
        <v>242</v>
      </c>
      <c r="C11" s="63" t="s">
        <v>243</v>
      </c>
      <c r="D11" s="64" t="s">
        <v>216</v>
      </c>
      <c r="E11" s="63" t="s">
        <v>244</v>
      </c>
      <c r="F11" s="63" t="s">
        <v>130</v>
      </c>
      <c r="G11" s="63"/>
      <c r="H11" s="63"/>
      <c r="I11" s="66" t="s">
        <v>245</v>
      </c>
    </row>
    <row r="12" customFormat="false" ht="15" hidden="false" customHeight="false" outlineLevel="0" collapsed="false">
      <c r="A12" s="63" t="s">
        <v>214</v>
      </c>
      <c r="B12" s="63" t="s">
        <v>230</v>
      </c>
      <c r="C12" s="63" t="s">
        <v>246</v>
      </c>
      <c r="D12" s="64" t="s">
        <v>216</v>
      </c>
      <c r="E12" s="63" t="s">
        <v>247</v>
      </c>
      <c r="F12" s="67" t="n">
        <v>44812</v>
      </c>
      <c r="G12" s="63" t="s">
        <v>123</v>
      </c>
      <c r="H12" s="63"/>
      <c r="I12" s="66" t="s">
        <v>248</v>
      </c>
    </row>
    <row r="13" customFormat="false" ht="15" hidden="false" customHeight="false" outlineLevel="0" collapsed="false">
      <c r="A13" s="63" t="s">
        <v>214</v>
      </c>
      <c r="B13" s="63" t="s">
        <v>226</v>
      </c>
      <c r="C13" s="63" t="s">
        <v>249</v>
      </c>
      <c r="D13" s="64" t="s">
        <v>216</v>
      </c>
      <c r="E13" s="63" t="s">
        <v>250</v>
      </c>
      <c r="F13" s="63" t="s">
        <v>130</v>
      </c>
      <c r="G13" s="63"/>
      <c r="H13" s="63"/>
      <c r="I13" s="66" t="s">
        <v>251</v>
      </c>
    </row>
    <row r="14" customFormat="false" ht="15" hidden="false" customHeight="false" outlineLevel="0" collapsed="false">
      <c r="A14" s="63" t="s">
        <v>214</v>
      </c>
      <c r="B14" s="63" t="s">
        <v>252</v>
      </c>
      <c r="C14" s="68" t="s">
        <v>253</v>
      </c>
      <c r="D14" s="64" t="s">
        <v>216</v>
      </c>
      <c r="E14" s="63" t="s">
        <v>254</v>
      </c>
      <c r="F14" s="63" t="s">
        <v>255</v>
      </c>
      <c r="G14" s="63" t="s">
        <v>123</v>
      </c>
      <c r="H14" s="63"/>
      <c r="I14" s="66" t="s">
        <v>256</v>
      </c>
    </row>
    <row r="15" customFormat="false" ht="15" hidden="false" customHeight="false" outlineLevel="0" collapsed="false">
      <c r="A15" s="63" t="s">
        <v>214</v>
      </c>
      <c r="B15" s="63" t="s">
        <v>127</v>
      </c>
      <c r="C15" s="63" t="s">
        <v>75</v>
      </c>
      <c r="D15" s="64" t="s">
        <v>216</v>
      </c>
      <c r="E15" s="63" t="s">
        <v>254</v>
      </c>
      <c r="F15" s="63" t="s">
        <v>130</v>
      </c>
      <c r="G15" s="63"/>
      <c r="H15" s="63"/>
      <c r="I15" s="66" t="s">
        <v>257</v>
      </c>
    </row>
    <row r="16" customFormat="false" ht="15" hidden="false" customHeight="false" outlineLevel="0" collapsed="false">
      <c r="A16" s="63" t="s">
        <v>214</v>
      </c>
      <c r="B16" s="63" t="s">
        <v>230</v>
      </c>
      <c r="C16" s="63" t="s">
        <v>258</v>
      </c>
      <c r="D16" s="64" t="s">
        <v>216</v>
      </c>
      <c r="E16" s="63" t="s">
        <v>259</v>
      </c>
      <c r="F16" s="63" t="s">
        <v>260</v>
      </c>
      <c r="G16" s="63"/>
      <c r="H16" s="63" t="s">
        <v>260</v>
      </c>
      <c r="I16" s="69" t="s">
        <v>261</v>
      </c>
    </row>
    <row r="17" customFormat="false" ht="15" hidden="false" customHeight="false" outlineLevel="0" collapsed="false">
      <c r="A17" s="63" t="s">
        <v>214</v>
      </c>
      <c r="B17" s="63" t="s">
        <v>114</v>
      </c>
      <c r="C17" s="63" t="s">
        <v>262</v>
      </c>
      <c r="D17" s="64" t="s">
        <v>216</v>
      </c>
      <c r="E17" s="63" t="s">
        <v>259</v>
      </c>
      <c r="F17" s="63" t="s">
        <v>237</v>
      </c>
      <c r="G17" s="63"/>
      <c r="H17" s="63"/>
      <c r="I17" s="69" t="s">
        <v>263</v>
      </c>
    </row>
    <row r="18" customFormat="false" ht="15" hidden="false" customHeight="false" outlineLevel="0" collapsed="false">
      <c r="A18" s="63" t="s">
        <v>214</v>
      </c>
      <c r="B18" s="63" t="s">
        <v>226</v>
      </c>
      <c r="C18" s="63" t="s">
        <v>264</v>
      </c>
      <c r="D18" s="64" t="s">
        <v>216</v>
      </c>
      <c r="E18" s="63" t="s">
        <v>259</v>
      </c>
      <c r="F18" s="63" t="s">
        <v>237</v>
      </c>
      <c r="G18" s="63"/>
      <c r="H18" s="63" t="s">
        <v>237</v>
      </c>
      <c r="I18" s="66" t="s">
        <v>265</v>
      </c>
    </row>
    <row r="19" customFormat="false" ht="15" hidden="false" customHeight="false" outlineLevel="0" collapsed="false">
      <c r="A19" s="63" t="s">
        <v>214</v>
      </c>
      <c r="B19" s="63" t="s">
        <v>230</v>
      </c>
      <c r="C19" s="63" t="s">
        <v>239</v>
      </c>
      <c r="D19" s="64" t="s">
        <v>216</v>
      </c>
      <c r="E19" s="63" t="s">
        <v>266</v>
      </c>
      <c r="F19" s="63" t="s">
        <v>267</v>
      </c>
      <c r="G19" s="63"/>
      <c r="H19" s="63"/>
      <c r="I19" s="66" t="s">
        <v>268</v>
      </c>
      <c r="K19" s="2" t="s">
        <v>269</v>
      </c>
      <c r="M19" s="2" t="s">
        <v>269</v>
      </c>
    </row>
    <row r="20" customFormat="false" ht="15" hidden="false" customHeight="false" outlineLevel="0" collapsed="false">
      <c r="A20" s="63" t="s">
        <v>214</v>
      </c>
      <c r="B20" s="63" t="s">
        <v>230</v>
      </c>
      <c r="C20" s="63" t="s">
        <v>231</v>
      </c>
      <c r="D20" s="64" t="s">
        <v>216</v>
      </c>
      <c r="E20" s="63" t="s">
        <v>266</v>
      </c>
      <c r="F20" s="63" t="s">
        <v>270</v>
      </c>
      <c r="G20" s="63"/>
      <c r="H20" s="63"/>
      <c r="I20" s="66" t="s">
        <v>271</v>
      </c>
    </row>
    <row r="21" customFormat="false" ht="15" hidden="false" customHeight="false" outlineLevel="0" collapsed="false">
      <c r="A21" s="63" t="s">
        <v>214</v>
      </c>
      <c r="B21" s="63" t="s">
        <v>230</v>
      </c>
      <c r="C21" s="63" t="s">
        <v>239</v>
      </c>
      <c r="D21" s="64" t="s">
        <v>216</v>
      </c>
      <c r="E21" s="63" t="s">
        <v>272</v>
      </c>
      <c r="F21" s="63" t="s">
        <v>218</v>
      </c>
      <c r="G21" s="63" t="s">
        <v>123</v>
      </c>
      <c r="H21" s="63"/>
      <c r="I21" s="66" t="s">
        <v>273</v>
      </c>
    </row>
    <row r="22" customFormat="false" ht="15" hidden="false" customHeight="false" outlineLevel="0" collapsed="false">
      <c r="A22" s="63" t="s">
        <v>214</v>
      </c>
      <c r="B22" s="63" t="s">
        <v>230</v>
      </c>
      <c r="C22" s="63" t="s">
        <v>231</v>
      </c>
      <c r="D22" s="64" t="s">
        <v>216</v>
      </c>
      <c r="E22" s="63" t="s">
        <v>274</v>
      </c>
      <c r="F22" s="63" t="s">
        <v>130</v>
      </c>
      <c r="G22" s="63" t="s">
        <v>123</v>
      </c>
      <c r="H22" s="63" t="s">
        <v>237</v>
      </c>
      <c r="I22" s="66" t="s">
        <v>275</v>
      </c>
    </row>
    <row r="23" customFormat="false" ht="15" hidden="false" customHeight="false" outlineLevel="0" collapsed="false">
      <c r="A23" s="63" t="s">
        <v>214</v>
      </c>
      <c r="B23" s="63" t="s">
        <v>276</v>
      </c>
      <c r="C23" s="63" t="s">
        <v>277</v>
      </c>
      <c r="D23" s="64" t="s">
        <v>216</v>
      </c>
      <c r="E23" s="63" t="s">
        <v>278</v>
      </c>
      <c r="F23" s="63" t="s">
        <v>228</v>
      </c>
      <c r="G23" s="63" t="s">
        <v>123</v>
      </c>
      <c r="H23" s="63" t="s">
        <v>228</v>
      </c>
      <c r="I23" s="66" t="s">
        <v>279</v>
      </c>
    </row>
    <row r="24" customFormat="false" ht="15" hidden="false" customHeight="false" outlineLevel="0" collapsed="false">
      <c r="A24" s="63" t="s">
        <v>214</v>
      </c>
      <c r="B24" s="63" t="s">
        <v>230</v>
      </c>
      <c r="C24" s="63" t="s">
        <v>280</v>
      </c>
      <c r="D24" s="64" t="s">
        <v>216</v>
      </c>
      <c r="E24" s="63" t="s">
        <v>278</v>
      </c>
      <c r="F24" s="63" t="s">
        <v>218</v>
      </c>
      <c r="G24" s="63" t="s">
        <v>123</v>
      </c>
      <c r="H24" s="63"/>
      <c r="I24" s="66" t="s">
        <v>281</v>
      </c>
    </row>
    <row r="25" customFormat="false" ht="15" hidden="false" customHeight="false" outlineLevel="0" collapsed="false">
      <c r="A25" s="63" t="s">
        <v>214</v>
      </c>
      <c r="B25" s="63" t="s">
        <v>96</v>
      </c>
      <c r="C25" s="63" t="s">
        <v>282</v>
      </c>
      <c r="D25" s="64" t="s">
        <v>216</v>
      </c>
      <c r="E25" s="63" t="s">
        <v>278</v>
      </c>
      <c r="F25" s="63" t="s">
        <v>283</v>
      </c>
      <c r="G25" s="63" t="s">
        <v>123</v>
      </c>
      <c r="H25" s="63"/>
      <c r="I25" s="66" t="s">
        <v>284</v>
      </c>
    </row>
    <row r="26" customFormat="false" ht="15" hidden="false" customHeight="false" outlineLevel="0" collapsed="false">
      <c r="A26" s="63" t="s">
        <v>214</v>
      </c>
      <c r="B26" s="63" t="s">
        <v>6</v>
      </c>
      <c r="C26" s="63" t="s">
        <v>285</v>
      </c>
      <c r="D26" s="64" t="s">
        <v>216</v>
      </c>
      <c r="E26" s="63" t="s">
        <v>278</v>
      </c>
      <c r="F26" s="63" t="s">
        <v>130</v>
      </c>
      <c r="G26" s="63"/>
      <c r="H26" s="63"/>
      <c r="I26" s="66" t="s">
        <v>286</v>
      </c>
    </row>
    <row r="27" customFormat="false" ht="15" hidden="false" customHeight="false" outlineLevel="0" collapsed="false">
      <c r="A27" s="63" t="s">
        <v>214</v>
      </c>
      <c r="B27" s="63" t="s">
        <v>6</v>
      </c>
      <c r="C27" s="63" t="s">
        <v>287</v>
      </c>
      <c r="D27" s="64" t="s">
        <v>216</v>
      </c>
      <c r="E27" s="63" t="s">
        <v>278</v>
      </c>
      <c r="F27" s="63" t="s">
        <v>222</v>
      </c>
      <c r="G27" s="63"/>
      <c r="H27" s="63"/>
      <c r="I27" s="66" t="s">
        <v>288</v>
      </c>
    </row>
    <row r="28" customFormat="false" ht="15" hidden="false" customHeight="false" outlineLevel="0" collapsed="false">
      <c r="A28" s="63" t="s">
        <v>214</v>
      </c>
      <c r="B28" s="63" t="s">
        <v>252</v>
      </c>
      <c r="C28" s="63" t="s">
        <v>289</v>
      </c>
      <c r="D28" s="64" t="s">
        <v>216</v>
      </c>
      <c r="E28" s="63" t="s">
        <v>278</v>
      </c>
      <c r="F28" s="63" t="s">
        <v>290</v>
      </c>
      <c r="G28" s="63"/>
      <c r="H28" s="63"/>
      <c r="I28" s="66" t="s">
        <v>291</v>
      </c>
    </row>
    <row r="29" customFormat="false" ht="15" hidden="false" customHeight="false" outlineLevel="0" collapsed="false">
      <c r="A29" s="63" t="s">
        <v>214</v>
      </c>
      <c r="B29" s="63" t="s">
        <v>226</v>
      </c>
      <c r="C29" s="63" t="s">
        <v>292</v>
      </c>
      <c r="D29" s="64" t="s">
        <v>216</v>
      </c>
      <c r="E29" s="63" t="s">
        <v>278</v>
      </c>
      <c r="F29" s="63" t="s">
        <v>130</v>
      </c>
      <c r="G29" s="63"/>
      <c r="H29" s="63"/>
      <c r="I29" s="66" t="s">
        <v>293</v>
      </c>
    </row>
    <row r="30" customFormat="false" ht="15" hidden="false" customHeight="false" outlineLevel="0" collapsed="false">
      <c r="A30" s="63" t="s">
        <v>214</v>
      </c>
      <c r="B30" s="63" t="s">
        <v>226</v>
      </c>
      <c r="C30" s="70" t="s">
        <v>117</v>
      </c>
      <c r="D30" s="71" t="s">
        <v>216</v>
      </c>
      <c r="E30" s="63" t="s">
        <v>278</v>
      </c>
      <c r="F30" s="72" t="n">
        <v>44774</v>
      </c>
      <c r="G30" s="63" t="s">
        <v>123</v>
      </c>
      <c r="H30" s="63"/>
      <c r="I30" s="66" t="s">
        <v>122</v>
      </c>
    </row>
    <row r="31" customFormat="false" ht="15" hidden="false" customHeight="false" outlineLevel="0" collapsed="false">
      <c r="A31" s="73"/>
      <c r="B31" s="63"/>
      <c r="D31" s="64"/>
      <c r="E31" s="63"/>
      <c r="F31" s="63"/>
      <c r="G31" s="63"/>
      <c r="H31" s="63"/>
      <c r="I31" s="66"/>
    </row>
    <row r="32" customFormat="false" ht="15" hidden="false" customHeight="false" outlineLevel="0" collapsed="false">
      <c r="A32" s="73"/>
      <c r="B32" s="63"/>
      <c r="D32" s="64"/>
      <c r="E32" s="63"/>
      <c r="F32" s="63"/>
      <c r="G32" s="63"/>
      <c r="H32" s="63"/>
      <c r="I32" s="66"/>
    </row>
    <row r="33" customFormat="false" ht="15" hidden="false" customHeight="false" outlineLevel="0" collapsed="false">
      <c r="A33" s="73"/>
      <c r="B33" s="63"/>
      <c r="D33" s="64"/>
      <c r="E33" s="63"/>
      <c r="F33" s="63"/>
      <c r="G33" s="63"/>
      <c r="H33" s="74"/>
      <c r="I33" s="66"/>
    </row>
    <row r="34" customFormat="false" ht="15" hidden="false" customHeight="false" outlineLevel="0" collapsed="false">
      <c r="A34" s="73"/>
      <c r="B34" s="63"/>
      <c r="D34" s="64"/>
      <c r="E34" s="63"/>
      <c r="F34" s="63"/>
      <c r="G34" s="63"/>
      <c r="H34" s="63"/>
      <c r="I34" s="66"/>
    </row>
    <row r="35" customFormat="false" ht="15" hidden="false" customHeight="false" outlineLevel="0" collapsed="false">
      <c r="A35" s="73"/>
      <c r="B35" s="75"/>
      <c r="D35" s="76"/>
      <c r="E35" s="75"/>
      <c r="F35" s="75"/>
      <c r="G35" s="75"/>
      <c r="H35" s="75"/>
      <c r="I35" s="66"/>
    </row>
    <row r="36" customFormat="false" ht="15" hidden="false" customHeight="false" outlineLevel="0" collapsed="false">
      <c r="A36" s="73"/>
      <c r="B36" s="63"/>
      <c r="D36" s="64"/>
      <c r="E36" s="63"/>
      <c r="F36" s="63"/>
      <c r="G36" s="63"/>
      <c r="H36" s="63"/>
      <c r="I36" s="66"/>
    </row>
    <row r="37" customFormat="false" ht="15" hidden="false" customHeight="false" outlineLevel="0" collapsed="false">
      <c r="A37" s="73"/>
      <c r="B37" s="63"/>
      <c r="D37" s="64"/>
      <c r="E37" s="63"/>
      <c r="F37" s="63"/>
      <c r="G37" s="64"/>
      <c r="H37" s="63"/>
      <c r="I37" s="66"/>
    </row>
    <row r="38" customFormat="false" ht="14.25" hidden="false" customHeight="false" outlineLevel="0" collapsed="false">
      <c r="I38" s="66"/>
    </row>
    <row r="39" customFormat="false" ht="14.25" hidden="false" customHeight="false" outlineLevel="0" collapsed="false">
      <c r="I39" s="66"/>
    </row>
    <row r="40" customFormat="false" ht="14.25" hidden="false" customHeight="false" outlineLevel="0" collapsed="false">
      <c r="I40" s="66"/>
    </row>
    <row r="41" customFormat="false" ht="14.25" hidden="false" customHeight="false" outlineLevel="0" collapsed="false">
      <c r="I41" s="66"/>
    </row>
    <row r="42" customFormat="false" ht="14.25" hidden="false" customHeight="false" outlineLevel="0" collapsed="false">
      <c r="I42" s="66"/>
    </row>
    <row r="43" customFormat="false" ht="14.25" hidden="false" customHeight="false" outlineLevel="0" collapsed="false">
      <c r="I43" s="66"/>
    </row>
    <row r="44" customFormat="false" ht="14.25" hidden="false" customHeight="false" outlineLevel="0" collapsed="false">
      <c r="I44" s="66"/>
    </row>
    <row r="45" customFormat="false" ht="14.25" hidden="false" customHeight="false" outlineLevel="0" collapsed="false">
      <c r="I45" s="66"/>
    </row>
    <row r="46" customFormat="false" ht="14.25" hidden="false" customHeight="false" outlineLevel="0" collapsed="false">
      <c r="I46" s="66"/>
    </row>
    <row r="47" customFormat="false" ht="14.25" hidden="false" customHeight="false" outlineLevel="0" collapsed="false">
      <c r="I47" s="66"/>
    </row>
    <row r="48" customFormat="false" ht="14.25" hidden="false" customHeight="false" outlineLevel="0" collapsed="false">
      <c r="I48" s="66"/>
    </row>
    <row r="49" customFormat="false" ht="14.25" hidden="false" customHeight="false" outlineLevel="0" collapsed="false">
      <c r="I49" s="66"/>
    </row>
  </sheetData>
  <hyperlinks>
    <hyperlink ref="D3" r:id="rId1" location="/view/53180a13-0d6d-4065-a6c4-d7cc34ef4899" display="Link"/>
    <hyperlink ref="D4" r:id="rId2" location="/view/dd3dcdcf-06f8-499d-8e0e-76be3420f1e9" display="Link"/>
    <hyperlink ref="D5" r:id="rId3" location="/view/644d20d6-4be6-466a-8795-b4321d47f31a" display="Link"/>
    <hyperlink ref="D6" r:id="rId4" location="/view/66ca28c3-28cb-4fbd-81e8-1f9b96d15ebc" display="Link"/>
    <hyperlink ref="D7" r:id="rId5" location="/view/7ef780c8-b267-4aba-9563-fdad646f275b" display="Link"/>
    <hyperlink ref="D8" r:id="rId6" display="Link"/>
    <hyperlink ref="D9" r:id="rId7" display="Link"/>
    <hyperlink ref="G9" r:id="rId8" location="/view/d3366858-f8dd-472b-a290-e9821505d211" display="Yes"/>
    <hyperlink ref="D10" r:id="rId9" display="Link"/>
    <hyperlink ref="D11" r:id="rId10" display="Link"/>
    <hyperlink ref="D12" r:id="rId11" display="Link"/>
    <hyperlink ref="D13" r:id="rId12" display="Link"/>
    <hyperlink ref="D14" r:id="rId13" display="Link"/>
    <hyperlink ref="D15" r:id="rId14" display="Link"/>
    <hyperlink ref="D16" r:id="rId15" display="Link"/>
    <hyperlink ref="D17" r:id="rId16" display="Link"/>
    <hyperlink ref="D18" r:id="rId17" display="Link"/>
    <hyperlink ref="D19" r:id="rId18" display="Link"/>
    <hyperlink ref="D20" r:id="rId19" display="Link"/>
    <hyperlink ref="D21" r:id="rId20" display="Link"/>
    <hyperlink ref="D22" r:id="rId21" display="Link"/>
    <hyperlink ref="D23" r:id="rId22" display="Link"/>
    <hyperlink ref="D24" r:id="rId23" display="Link"/>
    <hyperlink ref="D25" r:id="rId24" display="Link"/>
    <hyperlink ref="D26" r:id="rId25" display="Link"/>
    <hyperlink ref="D27" r:id="rId26" display="Link"/>
    <hyperlink ref="D28" r:id="rId27" display="Link"/>
    <hyperlink ref="D29" r:id="rId28" display="Link"/>
    <hyperlink ref="D30" r:id="rId29" display="Link"/>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3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S100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A2" activeCellId="1" sqref="4:8 A2"/>
    </sheetView>
  </sheetViews>
  <sheetFormatPr defaultColWidth="8.72265625" defaultRowHeight="14.25" zeroHeight="false" outlineLevelRow="0" outlineLevelCol="0"/>
  <cols>
    <col collapsed="false" customWidth="true" hidden="false" outlineLevel="0" max="6" min="1" style="1" width="11.63"/>
    <col collapsed="false" customWidth="true" hidden="false" outlineLevel="0" max="7" min="7" style="0" width="14.09"/>
    <col collapsed="false" customWidth="true" hidden="false" outlineLevel="0" max="12" min="8" style="0" width="11.63"/>
    <col collapsed="false" customWidth="true" hidden="false" outlineLevel="0" max="13" min="13" style="1" width="12.72"/>
    <col collapsed="false" customWidth="true" hidden="false" outlineLevel="0" max="14" min="14" style="1" width="13.27"/>
    <col collapsed="false" customWidth="true" hidden="false" outlineLevel="0" max="15" min="15" style="1" width="12.36"/>
    <col collapsed="false" customWidth="true" hidden="false" outlineLevel="0" max="16" min="16" style="1" width="10.9"/>
    <col collapsed="false" customWidth="true" hidden="false" outlineLevel="0" max="17" min="17" style="1" width="12.45"/>
    <col collapsed="false" customWidth="true" hidden="false" outlineLevel="0" max="20" min="20" style="1" width="10.9"/>
    <col collapsed="false" customWidth="false" hidden="true" outlineLevel="0" max="1024" min="21" style="1" width="8.72"/>
  </cols>
  <sheetData>
    <row r="1" s="1" customFormat="true" ht="45" hidden="false" customHeight="true" outlineLevel="0" collapsed="false">
      <c r="R1" s="0"/>
      <c r="S1" s="0"/>
    </row>
    <row r="2" customFormat="false" ht="21.75" hidden="false" customHeight="true" outlineLevel="0" collapsed="false">
      <c r="A2" s="31" t="s">
        <v>294</v>
      </c>
      <c r="G2" s="31" t="s">
        <v>295</v>
      </c>
      <c r="H2" s="31" t="s">
        <v>296</v>
      </c>
      <c r="I2" s="31" t="s">
        <v>297</v>
      </c>
      <c r="J2" s="31" t="s">
        <v>298</v>
      </c>
      <c r="K2" s="31" t="s">
        <v>299</v>
      </c>
      <c r="L2" s="31" t="s">
        <v>300</v>
      </c>
      <c r="M2" s="31" t="s">
        <v>301</v>
      </c>
      <c r="N2" s="31" t="s">
        <v>302</v>
      </c>
      <c r="O2" s="31" t="s">
        <v>303</v>
      </c>
      <c r="P2" s="31" t="s">
        <v>304</v>
      </c>
      <c r="Q2" s="31" t="s">
        <v>305</v>
      </c>
    </row>
    <row r="3" s="1" customFormat="true" ht="14.25" hidden="false" customHeight="false" outlineLevel="0" collapsed="false">
      <c r="R3" s="0"/>
      <c r="S3" s="0"/>
    </row>
    <row r="4" s="1" customFormat="true" ht="14.25" hidden="false" customHeight="false" outlineLevel="0" collapsed="false">
      <c r="R4" s="0"/>
      <c r="S4" s="0"/>
    </row>
    <row r="5" s="1" customFormat="true" ht="14.25" hidden="false" customHeight="false" outlineLevel="0" collapsed="false">
      <c r="R5" s="0"/>
      <c r="S5" s="0"/>
    </row>
    <row r="6" s="1" customFormat="true" ht="14.25" hidden="false" customHeight="false" outlineLevel="0" collapsed="false">
      <c r="R6" s="0"/>
      <c r="S6" s="0"/>
    </row>
    <row r="7" s="1" customFormat="true" ht="14.25" hidden="false" customHeight="false" outlineLevel="0" collapsed="false">
      <c r="R7" s="0"/>
      <c r="S7" s="0"/>
    </row>
    <row r="8" s="1" customFormat="true" ht="14.25" hidden="false" customHeight="false" outlineLevel="0" collapsed="false">
      <c r="R8" s="0"/>
      <c r="S8" s="0"/>
    </row>
    <row r="9" s="1" customFormat="true" ht="14.25" hidden="false" customHeight="false" outlineLevel="0" collapsed="false">
      <c r="R9" s="0"/>
      <c r="S9" s="0"/>
    </row>
    <row r="10" s="1" customFormat="true" ht="14.25" hidden="false" customHeight="false" outlineLevel="0" collapsed="false">
      <c r="R10" s="0"/>
      <c r="S10" s="0"/>
    </row>
    <row r="11" s="1" customFormat="true" ht="14.25" hidden="false" customHeight="false" outlineLevel="0" collapsed="false">
      <c r="R11" s="0"/>
      <c r="S11" s="0"/>
    </row>
    <row r="12" s="1" customFormat="true" ht="14.25" hidden="false" customHeight="false" outlineLevel="0" collapsed="false">
      <c r="R12" s="0"/>
      <c r="S12" s="0"/>
    </row>
    <row r="13" s="1" customFormat="true" ht="14.25" hidden="false" customHeight="false" outlineLevel="0" collapsed="false">
      <c r="R13" s="0"/>
      <c r="S13" s="0"/>
    </row>
    <row r="14" s="1" customFormat="true" ht="14.25" hidden="false" customHeight="false" outlineLevel="0" collapsed="false">
      <c r="R14" s="0"/>
      <c r="S14" s="0"/>
    </row>
    <row r="15" s="1" customFormat="true" ht="14.25" hidden="false" customHeight="false" outlineLevel="0" collapsed="false">
      <c r="R15" s="0"/>
      <c r="S15" s="0"/>
    </row>
    <row r="16" s="1" customFormat="true" ht="14.25" hidden="false" customHeight="false" outlineLevel="0" collapsed="false">
      <c r="R16" s="0"/>
      <c r="S16" s="0"/>
    </row>
    <row r="17" s="1" customFormat="true" ht="14.25" hidden="false" customHeight="false" outlineLevel="0" collapsed="false">
      <c r="R17" s="0"/>
      <c r="S17" s="0"/>
    </row>
    <row r="18" s="1" customFormat="true" ht="14.25" hidden="false" customHeight="false" outlineLevel="0" collapsed="false">
      <c r="R18" s="0"/>
      <c r="S18" s="0"/>
    </row>
    <row r="19" s="1" customFormat="true" ht="14.25" hidden="false" customHeight="false" outlineLevel="0" collapsed="false">
      <c r="R19" s="0"/>
      <c r="S19" s="0"/>
    </row>
    <row r="20" s="1" customFormat="true" ht="14.25" hidden="false" customHeight="false" outlineLevel="0" collapsed="false">
      <c r="R20" s="0"/>
      <c r="S20" s="0"/>
    </row>
    <row r="21" s="1" customFormat="true" ht="14.25" hidden="false" customHeight="false" outlineLevel="0" collapsed="false">
      <c r="R21" s="0"/>
      <c r="S21" s="0"/>
    </row>
    <row r="22" s="1" customFormat="true" ht="14.25" hidden="false" customHeight="false" outlineLevel="0" collapsed="false">
      <c r="R22" s="0"/>
      <c r="S22" s="0"/>
    </row>
    <row r="23" s="1" customFormat="true" ht="14.25" hidden="false" customHeight="false" outlineLevel="0" collapsed="false">
      <c r="R23" s="0"/>
      <c r="S23" s="0"/>
    </row>
    <row r="24" s="1" customFormat="true" ht="14.25" hidden="false" customHeight="false" outlineLevel="0" collapsed="false">
      <c r="R24" s="0"/>
      <c r="S24" s="0"/>
    </row>
    <row r="25" s="1" customFormat="true" ht="14.25" hidden="false" customHeight="false" outlineLevel="0" collapsed="false">
      <c r="R25" s="0"/>
      <c r="S25" s="0"/>
    </row>
    <row r="26" s="1" customFormat="true" ht="14.25" hidden="false" customHeight="false" outlineLevel="0" collapsed="false">
      <c r="R26" s="0"/>
      <c r="S26" s="0"/>
    </row>
    <row r="27" s="1" customFormat="true" ht="14.25" hidden="false" customHeight="false" outlineLevel="0" collapsed="false">
      <c r="R27" s="0"/>
      <c r="S27" s="0"/>
    </row>
    <row r="28" s="1" customFormat="true" ht="14.25" hidden="false" customHeight="false" outlineLevel="0" collapsed="false">
      <c r="R28" s="0"/>
      <c r="S28" s="0"/>
    </row>
    <row r="29" s="1" customFormat="true" ht="14.25" hidden="false" customHeight="false" outlineLevel="0" collapsed="false">
      <c r="R29" s="0"/>
      <c r="S29" s="0"/>
    </row>
    <row r="30" s="1" customFormat="true" ht="14.25" hidden="false" customHeight="false" outlineLevel="0" collapsed="false">
      <c r="R30" s="0"/>
      <c r="S30" s="0"/>
    </row>
    <row r="31" s="1" customFormat="true" ht="14.25" hidden="false" customHeight="false" outlineLevel="0" collapsed="false">
      <c r="R31" s="0"/>
      <c r="S31" s="0"/>
    </row>
    <row r="32" s="1" customFormat="true" ht="14.25" hidden="false" customHeight="false" outlineLevel="0" collapsed="false">
      <c r="R32" s="0"/>
      <c r="S32" s="0"/>
    </row>
    <row r="33" s="1" customFormat="true" ht="14.25" hidden="false" customHeight="false" outlineLevel="0" collapsed="false">
      <c r="R33" s="0"/>
      <c r="S33" s="0"/>
    </row>
    <row r="34" s="1" customFormat="true" ht="14.25" hidden="false" customHeight="false" outlineLevel="0" collapsed="false">
      <c r="R34" s="0"/>
      <c r="S34" s="0"/>
    </row>
    <row r="35" s="1" customFormat="true" ht="14.25" hidden="false" customHeight="false" outlineLevel="0" collapsed="false">
      <c r="R35" s="0"/>
      <c r="S35" s="0"/>
    </row>
    <row r="36" s="1" customFormat="true" ht="14.25" hidden="false" customHeight="false" outlineLevel="0" collapsed="false">
      <c r="R36" s="0"/>
      <c r="S36" s="0"/>
    </row>
    <row r="37" s="1" customFormat="true" ht="14.25" hidden="false" customHeight="false" outlineLevel="0" collapsed="false">
      <c r="R37" s="0"/>
      <c r="S37" s="0"/>
    </row>
    <row r="38" s="1" customFormat="true" ht="14.25" hidden="false" customHeight="false" outlineLevel="0" collapsed="false">
      <c r="R38" s="0"/>
      <c r="S38" s="0"/>
    </row>
    <row r="39" s="1" customFormat="true" ht="14.25" hidden="false" customHeight="false" outlineLevel="0" collapsed="false">
      <c r="R39" s="0"/>
      <c r="S39" s="0"/>
    </row>
    <row r="40" s="1" customFormat="true" ht="14.25" hidden="false" customHeight="false" outlineLevel="0" collapsed="false">
      <c r="R40" s="0"/>
      <c r="S40" s="0"/>
    </row>
    <row r="41" s="1" customFormat="true" ht="14.25" hidden="false" customHeight="false" outlineLevel="0" collapsed="false">
      <c r="R41" s="0"/>
      <c r="S41" s="0"/>
    </row>
    <row r="42" s="1" customFormat="true" ht="14.25" hidden="false" customHeight="false" outlineLevel="0" collapsed="false">
      <c r="R42" s="0"/>
      <c r="S42" s="0"/>
    </row>
    <row r="43" s="1" customFormat="true" ht="14.25" hidden="false" customHeight="false" outlineLevel="0" collapsed="false">
      <c r="R43" s="0"/>
      <c r="S43" s="0"/>
    </row>
    <row r="44" s="1" customFormat="true" ht="14.25" hidden="false" customHeight="false" outlineLevel="0" collapsed="false">
      <c r="R44" s="0"/>
      <c r="S44" s="0"/>
    </row>
    <row r="45" s="1" customFormat="true" ht="14.25" hidden="false" customHeight="false" outlineLevel="0" collapsed="false">
      <c r="R45" s="0"/>
      <c r="S45" s="0"/>
    </row>
    <row r="46" s="1" customFormat="true" ht="14.25" hidden="false" customHeight="false" outlineLevel="0" collapsed="false">
      <c r="R46" s="0"/>
      <c r="S46" s="0"/>
    </row>
    <row r="47" s="1" customFormat="true" ht="14.25" hidden="false" customHeight="false" outlineLevel="0" collapsed="false">
      <c r="R47" s="0"/>
      <c r="S47" s="0"/>
    </row>
    <row r="48" s="1" customFormat="true" ht="14.25" hidden="false" customHeight="false" outlineLevel="0" collapsed="false">
      <c r="R48" s="0"/>
      <c r="S48" s="0"/>
    </row>
    <row r="49" s="1" customFormat="true" ht="14.25" hidden="false" customHeight="false" outlineLevel="0" collapsed="false">
      <c r="R49" s="0"/>
      <c r="S49" s="0"/>
    </row>
    <row r="50" s="1" customFormat="true" ht="14.25" hidden="false" customHeight="false" outlineLevel="0" collapsed="false">
      <c r="R50" s="0"/>
      <c r="S50" s="0"/>
    </row>
    <row r="51" s="1" customFormat="true" ht="14.25" hidden="false" customHeight="false" outlineLevel="0" collapsed="false">
      <c r="R51" s="0"/>
      <c r="S51" s="0"/>
    </row>
    <row r="52" s="1" customFormat="true" ht="14.25" hidden="false" customHeight="false" outlineLevel="0" collapsed="false">
      <c r="R52" s="0"/>
      <c r="S52" s="0"/>
    </row>
    <row r="53" s="1" customFormat="true" ht="14.25" hidden="false" customHeight="false" outlineLevel="0" collapsed="false">
      <c r="R53" s="0"/>
      <c r="S53" s="0"/>
    </row>
    <row r="54" s="1" customFormat="true" ht="14.25" hidden="false" customHeight="false" outlineLevel="0" collapsed="false">
      <c r="R54" s="0"/>
      <c r="S54" s="0"/>
    </row>
    <row r="55" s="1" customFormat="true" ht="14.25" hidden="false" customHeight="false" outlineLevel="0" collapsed="false">
      <c r="R55" s="0"/>
      <c r="S55" s="0"/>
    </row>
    <row r="56" s="1" customFormat="true" ht="14.25" hidden="false" customHeight="false" outlineLevel="0" collapsed="false">
      <c r="R56" s="0"/>
      <c r="S56" s="0"/>
    </row>
    <row r="57" s="1" customFormat="true" ht="14.25" hidden="false" customHeight="false" outlineLevel="0" collapsed="false">
      <c r="R57" s="0"/>
      <c r="S57" s="0"/>
    </row>
    <row r="58" s="1" customFormat="true" ht="14.25" hidden="false" customHeight="false" outlineLevel="0" collapsed="false">
      <c r="R58" s="0"/>
      <c r="S58" s="0"/>
    </row>
    <row r="59" s="1" customFormat="true" ht="14.25" hidden="false" customHeight="false" outlineLevel="0" collapsed="false">
      <c r="R59" s="0"/>
      <c r="S59" s="0"/>
    </row>
    <row r="60" s="1" customFormat="true" ht="14.25" hidden="false" customHeight="false" outlineLevel="0" collapsed="false">
      <c r="R60" s="0"/>
      <c r="S60" s="0"/>
    </row>
    <row r="61" s="1" customFormat="true" ht="14.25" hidden="false" customHeight="false" outlineLevel="0" collapsed="false">
      <c r="R61" s="0"/>
      <c r="S61" s="0"/>
    </row>
    <row r="62" s="1" customFormat="true" ht="14.25" hidden="false" customHeight="false" outlineLevel="0" collapsed="false">
      <c r="R62" s="0"/>
      <c r="S62" s="0"/>
    </row>
    <row r="63" s="1" customFormat="true" ht="14.25" hidden="false" customHeight="false" outlineLevel="0" collapsed="false">
      <c r="R63" s="0"/>
      <c r="S63" s="0"/>
    </row>
    <row r="64" s="1" customFormat="true" ht="14.25" hidden="false" customHeight="false" outlineLevel="0" collapsed="false">
      <c r="R64" s="0"/>
      <c r="S64" s="0"/>
    </row>
    <row r="65" s="1" customFormat="true" ht="14.25" hidden="false" customHeight="false" outlineLevel="0" collapsed="false">
      <c r="R65" s="0"/>
      <c r="S65" s="0"/>
    </row>
    <row r="66" s="1" customFormat="true" ht="14.25" hidden="false" customHeight="false" outlineLevel="0" collapsed="false">
      <c r="R66" s="0"/>
      <c r="S66" s="0"/>
    </row>
    <row r="67" s="1" customFormat="true" ht="14.25" hidden="false" customHeight="false" outlineLevel="0" collapsed="false">
      <c r="R67" s="0"/>
      <c r="S67" s="0"/>
    </row>
    <row r="68" s="1" customFormat="true" ht="14.25" hidden="false" customHeight="false" outlineLevel="0" collapsed="false">
      <c r="R68" s="0"/>
      <c r="S68" s="0"/>
    </row>
    <row r="69" s="1" customFormat="true" ht="14.25" hidden="false" customHeight="false" outlineLevel="0" collapsed="false">
      <c r="R69" s="0"/>
      <c r="S69" s="0"/>
    </row>
    <row r="70" s="1" customFormat="true" ht="14.25" hidden="false" customHeight="false" outlineLevel="0" collapsed="false">
      <c r="R70" s="0"/>
      <c r="S70" s="0"/>
    </row>
    <row r="71" s="1" customFormat="true" ht="14.25" hidden="false" customHeight="false" outlineLevel="0" collapsed="false">
      <c r="R71" s="0"/>
      <c r="S71" s="0"/>
    </row>
    <row r="72" s="1" customFormat="true" ht="14.25" hidden="false" customHeight="false" outlineLevel="0" collapsed="false">
      <c r="R72" s="0"/>
      <c r="S72" s="0"/>
    </row>
    <row r="73" s="1" customFormat="true" ht="14.25" hidden="false" customHeight="false" outlineLevel="0" collapsed="false">
      <c r="R73" s="0"/>
      <c r="S73" s="0"/>
    </row>
    <row r="74" s="1" customFormat="true" ht="14.25" hidden="false" customHeight="false" outlineLevel="0" collapsed="false">
      <c r="R74" s="0"/>
      <c r="S74" s="0"/>
    </row>
    <row r="75" s="1" customFormat="true" ht="14.25" hidden="false" customHeight="false" outlineLevel="0" collapsed="false">
      <c r="R75" s="0"/>
      <c r="S75" s="0"/>
    </row>
    <row r="76" s="1" customFormat="true" ht="14.25" hidden="false" customHeight="false" outlineLevel="0" collapsed="false">
      <c r="R76" s="0"/>
      <c r="S76" s="0"/>
    </row>
    <row r="77" s="1" customFormat="true" ht="14.25" hidden="false" customHeight="false" outlineLevel="0" collapsed="false">
      <c r="R77" s="0"/>
      <c r="S77" s="0"/>
    </row>
    <row r="78" s="1" customFormat="true" ht="14.25" hidden="false" customHeight="false" outlineLevel="0" collapsed="false">
      <c r="R78" s="0"/>
      <c r="S78" s="0"/>
    </row>
    <row r="79" s="1" customFormat="true" ht="14.25" hidden="false" customHeight="false" outlineLevel="0" collapsed="false">
      <c r="R79" s="0"/>
      <c r="S79" s="0"/>
    </row>
    <row r="80" s="1" customFormat="true" ht="14.25" hidden="false" customHeight="false" outlineLevel="0" collapsed="false">
      <c r="R80" s="0"/>
      <c r="S80" s="0"/>
    </row>
    <row r="81" s="1" customFormat="true" ht="14.25" hidden="false" customHeight="false" outlineLevel="0" collapsed="false">
      <c r="R81" s="0"/>
      <c r="S81" s="0"/>
    </row>
    <row r="82" s="1" customFormat="true" ht="14.25" hidden="false" customHeight="false" outlineLevel="0" collapsed="false">
      <c r="R82" s="0"/>
      <c r="S82" s="0"/>
    </row>
    <row r="83" s="1" customFormat="true" ht="14.25" hidden="false" customHeight="false" outlineLevel="0" collapsed="false">
      <c r="R83" s="0"/>
      <c r="S83" s="0"/>
    </row>
    <row r="84" s="1" customFormat="true" ht="14.25" hidden="false" customHeight="false" outlineLevel="0" collapsed="false">
      <c r="R84" s="0"/>
      <c r="S84" s="0"/>
    </row>
    <row r="85" s="1" customFormat="true" ht="14.25" hidden="false" customHeight="false" outlineLevel="0" collapsed="false">
      <c r="R85" s="0"/>
      <c r="S85" s="0"/>
    </row>
    <row r="86" s="1" customFormat="true" ht="14.25" hidden="false" customHeight="false" outlineLevel="0" collapsed="false">
      <c r="R86" s="0"/>
      <c r="S86" s="0"/>
    </row>
    <row r="87" s="1" customFormat="true" ht="14.25" hidden="false" customHeight="false" outlineLevel="0" collapsed="false">
      <c r="R87" s="0"/>
      <c r="S87" s="0"/>
    </row>
    <row r="88" s="1" customFormat="true" ht="14.25" hidden="false" customHeight="false" outlineLevel="0" collapsed="false">
      <c r="R88" s="0"/>
      <c r="S88" s="0"/>
    </row>
    <row r="89" s="1" customFormat="true" ht="14.25" hidden="false" customHeight="false" outlineLevel="0" collapsed="false">
      <c r="R89" s="0"/>
      <c r="S89" s="0"/>
    </row>
    <row r="90" s="1" customFormat="true" ht="14.25" hidden="false" customHeight="false" outlineLevel="0" collapsed="false">
      <c r="R90" s="0"/>
      <c r="S90" s="0"/>
    </row>
    <row r="91" s="1" customFormat="true" ht="14.25" hidden="false" customHeight="false" outlineLevel="0" collapsed="false">
      <c r="R91" s="0"/>
      <c r="S91" s="0"/>
    </row>
    <row r="92" s="1" customFormat="true" ht="14.25" hidden="false" customHeight="false" outlineLevel="0" collapsed="false">
      <c r="R92" s="0"/>
      <c r="S92" s="0"/>
    </row>
    <row r="93" s="1" customFormat="true" ht="14.25" hidden="false" customHeight="false" outlineLevel="0" collapsed="false">
      <c r="R93" s="0"/>
      <c r="S93" s="0"/>
    </row>
    <row r="94" s="1" customFormat="true" ht="14.25" hidden="false" customHeight="false" outlineLevel="0" collapsed="false">
      <c r="R94" s="0"/>
      <c r="S94" s="0"/>
    </row>
    <row r="95" s="1" customFormat="true" ht="14.25" hidden="false" customHeight="false" outlineLevel="0" collapsed="false">
      <c r="R95" s="0"/>
      <c r="S95" s="0"/>
    </row>
    <row r="96" s="1" customFormat="true" ht="14.25" hidden="false" customHeight="false" outlineLevel="0" collapsed="false">
      <c r="R96" s="0"/>
      <c r="S96" s="0"/>
    </row>
    <row r="97" s="1" customFormat="true" ht="14.25" hidden="false" customHeight="false" outlineLevel="0" collapsed="false">
      <c r="R97" s="0"/>
      <c r="S97" s="0"/>
    </row>
    <row r="98" s="1" customFormat="true" ht="14.25" hidden="false" customHeight="false" outlineLevel="0" collapsed="false">
      <c r="R98" s="0"/>
      <c r="S98" s="0"/>
    </row>
    <row r="99" s="1" customFormat="true" ht="14.25" hidden="false" customHeight="false" outlineLevel="0" collapsed="false">
      <c r="R99" s="0"/>
      <c r="S99" s="0"/>
    </row>
    <row r="100" s="1" customFormat="true" ht="14.25" hidden="false" customHeight="false" outlineLevel="0" collapsed="false">
      <c r="R100" s="0"/>
      <c r="S100" s="0"/>
    </row>
    <row r="101" s="1" customFormat="true" ht="14.25" hidden="false" customHeight="false" outlineLevel="0" collapsed="false">
      <c r="R101" s="0"/>
      <c r="S101" s="0"/>
    </row>
    <row r="102" s="1" customFormat="true" ht="14.25" hidden="false" customHeight="false" outlineLevel="0" collapsed="false">
      <c r="R102" s="0"/>
      <c r="S102" s="0"/>
    </row>
    <row r="103" s="1" customFormat="true" ht="14.25" hidden="false" customHeight="false" outlineLevel="0" collapsed="false">
      <c r="R103" s="0"/>
      <c r="S103" s="0"/>
    </row>
    <row r="104" s="1" customFormat="true" ht="14.25" hidden="false" customHeight="false" outlineLevel="0" collapsed="false">
      <c r="R104" s="0"/>
      <c r="S104" s="0"/>
    </row>
    <row r="105" s="1" customFormat="true" ht="14.25" hidden="false" customHeight="false" outlineLevel="0" collapsed="false">
      <c r="R105" s="0"/>
      <c r="S105" s="0"/>
    </row>
    <row r="106" s="1" customFormat="true" ht="14.25" hidden="false" customHeight="false" outlineLevel="0" collapsed="false">
      <c r="R106" s="0"/>
      <c r="S106" s="0"/>
    </row>
    <row r="107" s="1" customFormat="true" ht="14.25" hidden="false" customHeight="false" outlineLevel="0" collapsed="false">
      <c r="R107" s="0"/>
      <c r="S107" s="0"/>
    </row>
    <row r="108" s="1" customFormat="true" ht="14.25" hidden="false" customHeight="false" outlineLevel="0" collapsed="false">
      <c r="R108" s="0"/>
      <c r="S108" s="0"/>
    </row>
    <row r="109" s="1" customFormat="true" ht="14.25" hidden="false" customHeight="false" outlineLevel="0" collapsed="false">
      <c r="R109" s="0"/>
      <c r="S109" s="0"/>
    </row>
    <row r="110" s="1" customFormat="true" ht="14.25" hidden="false" customHeight="false" outlineLevel="0" collapsed="false">
      <c r="R110" s="0"/>
      <c r="S110" s="0"/>
    </row>
    <row r="111" s="1" customFormat="true" ht="14.25" hidden="false" customHeight="false" outlineLevel="0" collapsed="false">
      <c r="R111" s="0"/>
      <c r="S111" s="0"/>
    </row>
    <row r="112" s="1" customFormat="true" ht="14.25" hidden="false" customHeight="false" outlineLevel="0" collapsed="false">
      <c r="R112" s="0"/>
      <c r="S112" s="0"/>
    </row>
    <row r="113" s="1" customFormat="true" ht="14.25" hidden="false" customHeight="false" outlineLevel="0" collapsed="false">
      <c r="R113" s="0"/>
      <c r="S113" s="0"/>
    </row>
    <row r="114" s="1" customFormat="true" ht="14.25" hidden="false" customHeight="false" outlineLevel="0" collapsed="false">
      <c r="R114" s="0"/>
      <c r="S114" s="0"/>
    </row>
    <row r="115" s="1" customFormat="true" ht="14.25" hidden="false" customHeight="false" outlineLevel="0" collapsed="false">
      <c r="R115" s="0"/>
      <c r="S115" s="0"/>
    </row>
    <row r="116" s="1" customFormat="true" ht="14.25" hidden="false" customHeight="false" outlineLevel="0" collapsed="false">
      <c r="R116" s="0"/>
      <c r="S116" s="0"/>
    </row>
    <row r="117" s="1" customFormat="true" ht="14.25" hidden="false" customHeight="false" outlineLevel="0" collapsed="false">
      <c r="R117" s="0"/>
      <c r="S117" s="0"/>
    </row>
    <row r="118" s="1" customFormat="true" ht="14.25" hidden="false" customHeight="false" outlineLevel="0" collapsed="false">
      <c r="R118" s="0"/>
      <c r="S118" s="0"/>
    </row>
    <row r="119" s="1" customFormat="true" ht="14.25" hidden="false" customHeight="false" outlineLevel="0" collapsed="false">
      <c r="R119" s="0"/>
      <c r="S119" s="0"/>
    </row>
    <row r="120" s="1" customFormat="true" ht="14.25" hidden="false" customHeight="false" outlineLevel="0" collapsed="false">
      <c r="R120" s="0"/>
      <c r="S120" s="0"/>
    </row>
    <row r="121" s="1" customFormat="true" ht="14.25" hidden="false" customHeight="false" outlineLevel="0" collapsed="false">
      <c r="R121" s="0"/>
      <c r="S121" s="0"/>
    </row>
    <row r="122" s="1" customFormat="true" ht="14.25" hidden="false" customHeight="false" outlineLevel="0" collapsed="false">
      <c r="R122" s="0"/>
      <c r="S122" s="0"/>
    </row>
    <row r="123" s="1" customFormat="true" ht="14.25" hidden="false" customHeight="false" outlineLevel="0" collapsed="false">
      <c r="R123" s="0"/>
      <c r="S123" s="0"/>
    </row>
    <row r="124" s="1" customFormat="true" ht="14.25" hidden="false" customHeight="false" outlineLevel="0" collapsed="false">
      <c r="R124" s="0"/>
      <c r="S124" s="0"/>
    </row>
    <row r="125" s="1" customFormat="true" ht="14.25" hidden="false" customHeight="false" outlineLevel="0" collapsed="false">
      <c r="R125" s="0"/>
      <c r="S125" s="0"/>
    </row>
    <row r="126" s="1" customFormat="true" ht="14.25" hidden="false" customHeight="false" outlineLevel="0" collapsed="false">
      <c r="R126" s="0"/>
      <c r="S126" s="0"/>
    </row>
    <row r="127" s="1" customFormat="true" ht="14.25" hidden="false" customHeight="false" outlineLevel="0" collapsed="false">
      <c r="R127" s="0"/>
      <c r="S127" s="0"/>
    </row>
    <row r="128" s="1" customFormat="true" ht="14.25" hidden="false" customHeight="false" outlineLevel="0" collapsed="false">
      <c r="R128" s="0"/>
      <c r="S128" s="0"/>
    </row>
    <row r="129" s="1" customFormat="true" ht="14.25" hidden="false" customHeight="false" outlineLevel="0" collapsed="false">
      <c r="R129" s="0"/>
      <c r="S129" s="0"/>
    </row>
    <row r="130" s="1" customFormat="true" ht="14.25" hidden="false" customHeight="false" outlineLevel="0" collapsed="false">
      <c r="R130" s="0"/>
      <c r="S130" s="0"/>
    </row>
    <row r="131" s="1" customFormat="true" ht="14.25" hidden="false" customHeight="false" outlineLevel="0" collapsed="false">
      <c r="R131" s="0"/>
      <c r="S131" s="0"/>
    </row>
    <row r="132" s="1" customFormat="true" ht="14.25" hidden="false" customHeight="false" outlineLevel="0" collapsed="false">
      <c r="R132" s="0"/>
      <c r="S132" s="0"/>
    </row>
    <row r="133" s="1" customFormat="true" ht="14.25" hidden="false" customHeight="false" outlineLevel="0" collapsed="false">
      <c r="R133" s="0"/>
      <c r="S133" s="0"/>
    </row>
    <row r="134" s="1" customFormat="true" ht="14.25" hidden="false" customHeight="false" outlineLevel="0" collapsed="false">
      <c r="R134" s="0"/>
      <c r="S134" s="0"/>
    </row>
    <row r="135" s="1" customFormat="true" ht="14.25" hidden="false" customHeight="false" outlineLevel="0" collapsed="false">
      <c r="R135" s="0"/>
      <c r="S135" s="0"/>
    </row>
    <row r="136" s="1" customFormat="true" ht="14.25" hidden="false" customHeight="false" outlineLevel="0" collapsed="false">
      <c r="R136" s="0"/>
      <c r="S136" s="0"/>
    </row>
    <row r="137" s="1" customFormat="true" ht="14.25" hidden="false" customHeight="false" outlineLevel="0" collapsed="false">
      <c r="R137" s="0"/>
      <c r="S137" s="0"/>
    </row>
    <row r="138" s="1" customFormat="true" ht="14.25" hidden="false" customHeight="false" outlineLevel="0" collapsed="false">
      <c r="R138" s="0"/>
      <c r="S138" s="0"/>
    </row>
    <row r="139" s="1" customFormat="true" ht="14.25" hidden="false" customHeight="false" outlineLevel="0" collapsed="false">
      <c r="R139" s="0"/>
      <c r="S139" s="0"/>
    </row>
    <row r="140" s="1" customFormat="true" ht="14.25" hidden="false" customHeight="false" outlineLevel="0" collapsed="false">
      <c r="R140" s="0"/>
      <c r="S140" s="0"/>
    </row>
    <row r="141" s="1" customFormat="true" ht="14.25" hidden="false" customHeight="false" outlineLevel="0" collapsed="false">
      <c r="R141" s="0"/>
      <c r="S141" s="0"/>
    </row>
    <row r="142" s="1" customFormat="true" ht="14.25" hidden="false" customHeight="false" outlineLevel="0" collapsed="false">
      <c r="R142" s="0"/>
      <c r="S142" s="0"/>
    </row>
    <row r="143" s="1" customFormat="true" ht="14.25" hidden="false" customHeight="false" outlineLevel="0" collapsed="false">
      <c r="R143" s="0"/>
      <c r="S143" s="0"/>
    </row>
    <row r="144" s="1" customFormat="true" ht="14.25" hidden="false" customHeight="false" outlineLevel="0" collapsed="false">
      <c r="R144" s="0"/>
      <c r="S144" s="0"/>
    </row>
    <row r="145" s="1" customFormat="true" ht="14.25" hidden="false" customHeight="false" outlineLevel="0" collapsed="false">
      <c r="R145" s="0"/>
      <c r="S145" s="0"/>
    </row>
    <row r="146" s="1" customFormat="true" ht="14.25" hidden="false" customHeight="false" outlineLevel="0" collapsed="false">
      <c r="R146" s="0"/>
      <c r="S146" s="0"/>
    </row>
    <row r="147" s="1" customFormat="true" ht="14.25" hidden="false" customHeight="false" outlineLevel="0" collapsed="false">
      <c r="R147" s="0"/>
      <c r="S147" s="0"/>
    </row>
    <row r="148" s="1" customFormat="true" ht="14.25" hidden="false" customHeight="false" outlineLevel="0" collapsed="false">
      <c r="R148" s="0"/>
      <c r="S148" s="0"/>
    </row>
    <row r="149" s="1" customFormat="true" ht="14.25" hidden="false" customHeight="false" outlineLevel="0" collapsed="false">
      <c r="R149" s="0"/>
      <c r="S149" s="0"/>
    </row>
    <row r="150" s="1" customFormat="true" ht="14.25" hidden="false" customHeight="false" outlineLevel="0" collapsed="false">
      <c r="R150" s="0"/>
      <c r="S150" s="0"/>
    </row>
    <row r="151" s="1" customFormat="true" ht="14.25" hidden="false" customHeight="false" outlineLevel="0" collapsed="false">
      <c r="R151" s="0"/>
      <c r="S151" s="0"/>
    </row>
    <row r="152" s="1" customFormat="true" ht="14.25" hidden="false" customHeight="false" outlineLevel="0" collapsed="false">
      <c r="R152" s="0"/>
      <c r="S152" s="0"/>
    </row>
    <row r="153" s="1" customFormat="true" ht="14.25" hidden="false" customHeight="false" outlineLevel="0" collapsed="false">
      <c r="R153" s="0"/>
      <c r="S153" s="0"/>
    </row>
    <row r="154" s="1" customFormat="true" ht="14.25" hidden="false" customHeight="false" outlineLevel="0" collapsed="false">
      <c r="R154" s="0"/>
      <c r="S154" s="0"/>
    </row>
    <row r="155" s="1" customFormat="true" ht="14.25" hidden="false" customHeight="false" outlineLevel="0" collapsed="false">
      <c r="R155" s="0"/>
      <c r="S155" s="0"/>
    </row>
    <row r="156" s="1" customFormat="true" ht="14.25" hidden="false" customHeight="false" outlineLevel="0" collapsed="false">
      <c r="R156" s="0"/>
      <c r="S156" s="0"/>
    </row>
    <row r="157" s="1" customFormat="true" ht="14.25" hidden="false" customHeight="false" outlineLevel="0" collapsed="false">
      <c r="R157" s="0"/>
      <c r="S157" s="0"/>
    </row>
    <row r="158" s="1" customFormat="true" ht="14.25" hidden="false" customHeight="false" outlineLevel="0" collapsed="false">
      <c r="R158" s="0"/>
      <c r="S158" s="0"/>
    </row>
    <row r="159" s="1" customFormat="true" ht="14.25" hidden="false" customHeight="false" outlineLevel="0" collapsed="false">
      <c r="R159" s="0"/>
      <c r="S159" s="0"/>
    </row>
    <row r="160" s="1" customFormat="true" ht="14.25" hidden="false" customHeight="false" outlineLevel="0" collapsed="false">
      <c r="R160" s="0"/>
      <c r="S160" s="0"/>
    </row>
    <row r="161" s="1" customFormat="true" ht="14.25" hidden="false" customHeight="false" outlineLevel="0" collapsed="false">
      <c r="R161" s="0"/>
      <c r="S161" s="0"/>
    </row>
    <row r="162" s="1" customFormat="true" ht="14.25" hidden="false" customHeight="false" outlineLevel="0" collapsed="false">
      <c r="R162" s="0"/>
      <c r="S162" s="0"/>
    </row>
    <row r="163" s="1" customFormat="true" ht="14.25" hidden="false" customHeight="false" outlineLevel="0" collapsed="false">
      <c r="R163" s="0"/>
      <c r="S163" s="0"/>
    </row>
    <row r="164" s="1" customFormat="true" ht="14.25" hidden="false" customHeight="false" outlineLevel="0" collapsed="false">
      <c r="R164" s="0"/>
      <c r="S164" s="0"/>
    </row>
    <row r="165" s="1" customFormat="true" ht="14.25" hidden="false" customHeight="false" outlineLevel="0" collapsed="false">
      <c r="R165" s="0"/>
      <c r="S165" s="0"/>
    </row>
    <row r="166" s="1" customFormat="true" ht="14.25" hidden="false" customHeight="false" outlineLevel="0" collapsed="false">
      <c r="R166" s="0"/>
      <c r="S166" s="0"/>
    </row>
    <row r="167" s="1" customFormat="true" ht="14.25" hidden="false" customHeight="false" outlineLevel="0" collapsed="false">
      <c r="R167" s="0"/>
      <c r="S167" s="0"/>
    </row>
    <row r="168" s="1" customFormat="true" ht="14.25" hidden="false" customHeight="false" outlineLevel="0" collapsed="false">
      <c r="R168" s="0"/>
      <c r="S168" s="0"/>
    </row>
    <row r="169" s="1" customFormat="true" ht="14.25" hidden="false" customHeight="false" outlineLevel="0" collapsed="false">
      <c r="R169" s="0"/>
      <c r="S169" s="0"/>
    </row>
    <row r="170" s="1" customFormat="true" ht="14.25" hidden="false" customHeight="false" outlineLevel="0" collapsed="false">
      <c r="R170" s="0"/>
      <c r="S170" s="0"/>
    </row>
    <row r="171" s="1" customFormat="true" ht="14.25" hidden="false" customHeight="false" outlineLevel="0" collapsed="false">
      <c r="R171" s="0"/>
      <c r="S171" s="0"/>
    </row>
    <row r="172" s="1" customFormat="true" ht="14.25" hidden="false" customHeight="false" outlineLevel="0" collapsed="false">
      <c r="R172" s="0"/>
      <c r="S172" s="0"/>
    </row>
    <row r="173" s="1" customFormat="true" ht="14.25" hidden="false" customHeight="false" outlineLevel="0" collapsed="false">
      <c r="R173" s="0"/>
      <c r="S173" s="0"/>
    </row>
    <row r="174" s="1" customFormat="true" ht="14.25" hidden="false" customHeight="false" outlineLevel="0" collapsed="false">
      <c r="R174" s="0"/>
      <c r="S174" s="0"/>
    </row>
    <row r="175" s="1" customFormat="true" ht="14.25" hidden="false" customHeight="false" outlineLevel="0" collapsed="false">
      <c r="R175" s="0"/>
      <c r="S175" s="0"/>
    </row>
    <row r="176" s="1" customFormat="true" ht="14.25" hidden="false" customHeight="false" outlineLevel="0" collapsed="false">
      <c r="R176" s="0"/>
      <c r="S176" s="0"/>
    </row>
    <row r="177" s="1" customFormat="true" ht="14.25" hidden="false" customHeight="false" outlineLevel="0" collapsed="false">
      <c r="R177" s="0"/>
      <c r="S177" s="0"/>
    </row>
    <row r="178" s="1" customFormat="true" ht="14.25" hidden="false" customHeight="false" outlineLevel="0" collapsed="false">
      <c r="R178" s="0"/>
      <c r="S178" s="0"/>
    </row>
    <row r="179" s="1" customFormat="true" ht="14.25" hidden="false" customHeight="false" outlineLevel="0" collapsed="false">
      <c r="R179" s="0"/>
      <c r="S179" s="0"/>
    </row>
    <row r="180" s="1" customFormat="true" ht="14.25" hidden="false" customHeight="false" outlineLevel="0" collapsed="false">
      <c r="R180" s="0"/>
      <c r="S180" s="0"/>
    </row>
    <row r="181" s="1" customFormat="true" ht="14.25" hidden="false" customHeight="false" outlineLevel="0" collapsed="false">
      <c r="R181" s="0"/>
      <c r="S181" s="0"/>
    </row>
    <row r="182" s="1" customFormat="true" ht="14.25" hidden="false" customHeight="false" outlineLevel="0" collapsed="false">
      <c r="R182" s="0"/>
      <c r="S182" s="0"/>
    </row>
    <row r="183" s="1" customFormat="true" ht="14.25" hidden="false" customHeight="false" outlineLevel="0" collapsed="false">
      <c r="R183" s="0"/>
      <c r="S183" s="0"/>
    </row>
    <row r="184" s="1" customFormat="true" ht="14.25" hidden="false" customHeight="false" outlineLevel="0" collapsed="false">
      <c r="R184" s="0"/>
      <c r="S184" s="0"/>
    </row>
    <row r="185" s="1" customFormat="true" ht="14.25" hidden="false" customHeight="false" outlineLevel="0" collapsed="false">
      <c r="R185" s="0"/>
      <c r="S185" s="0"/>
    </row>
    <row r="186" s="1" customFormat="true" ht="14.25" hidden="false" customHeight="false" outlineLevel="0" collapsed="false">
      <c r="R186" s="0"/>
      <c r="S186" s="0"/>
    </row>
    <row r="187" s="1" customFormat="true" ht="14.25" hidden="false" customHeight="false" outlineLevel="0" collapsed="false">
      <c r="R187" s="0"/>
      <c r="S187" s="0"/>
    </row>
    <row r="188" s="1" customFormat="true" ht="14.25" hidden="false" customHeight="false" outlineLevel="0" collapsed="false">
      <c r="R188" s="0"/>
      <c r="S188" s="0"/>
    </row>
    <row r="189" s="1" customFormat="true" ht="14.25" hidden="false" customHeight="false" outlineLevel="0" collapsed="false">
      <c r="R189" s="0"/>
      <c r="S189" s="0"/>
    </row>
    <row r="190" s="1" customFormat="true" ht="14.25" hidden="false" customHeight="false" outlineLevel="0" collapsed="false">
      <c r="R190" s="0"/>
      <c r="S190" s="0"/>
    </row>
    <row r="191" s="1" customFormat="true" ht="14.25" hidden="false" customHeight="false" outlineLevel="0" collapsed="false">
      <c r="R191" s="0"/>
      <c r="S191" s="0"/>
    </row>
    <row r="192" s="1" customFormat="true" ht="14.25" hidden="false" customHeight="false" outlineLevel="0" collapsed="false">
      <c r="R192" s="0"/>
      <c r="S192" s="0"/>
    </row>
    <row r="193" s="1" customFormat="true" ht="14.25" hidden="false" customHeight="false" outlineLevel="0" collapsed="false">
      <c r="R193" s="0"/>
      <c r="S193" s="0"/>
    </row>
    <row r="194" s="1" customFormat="true" ht="14.25" hidden="false" customHeight="false" outlineLevel="0" collapsed="false">
      <c r="R194" s="0"/>
      <c r="S194" s="0"/>
    </row>
    <row r="195" s="1" customFormat="true" ht="14.25" hidden="false" customHeight="false" outlineLevel="0" collapsed="false">
      <c r="R195" s="0"/>
      <c r="S195" s="0"/>
    </row>
    <row r="196" s="1" customFormat="true" ht="14.25" hidden="false" customHeight="false" outlineLevel="0" collapsed="false">
      <c r="R196" s="0"/>
      <c r="S196" s="0"/>
    </row>
    <row r="197" s="1" customFormat="true" ht="14.25" hidden="false" customHeight="false" outlineLevel="0" collapsed="false">
      <c r="R197" s="0"/>
      <c r="S197" s="0"/>
    </row>
    <row r="198" s="1" customFormat="true" ht="14.25" hidden="false" customHeight="false" outlineLevel="0" collapsed="false">
      <c r="R198" s="0"/>
      <c r="S198" s="0"/>
    </row>
    <row r="199" s="1" customFormat="true" ht="14.25" hidden="false" customHeight="false" outlineLevel="0" collapsed="false">
      <c r="R199" s="0"/>
      <c r="S199" s="0"/>
    </row>
    <row r="200" s="1" customFormat="true" ht="14.25" hidden="false" customHeight="false" outlineLevel="0" collapsed="false">
      <c r="R200" s="0"/>
      <c r="S200" s="0"/>
    </row>
    <row r="201" s="1" customFormat="true" ht="14.25" hidden="false" customHeight="false" outlineLevel="0" collapsed="false">
      <c r="R201" s="0"/>
      <c r="S201" s="0"/>
    </row>
    <row r="202" s="1" customFormat="true" ht="14.25" hidden="false" customHeight="false" outlineLevel="0" collapsed="false">
      <c r="R202" s="0"/>
      <c r="S202" s="0"/>
    </row>
    <row r="203" s="1" customFormat="true" ht="14.25" hidden="false" customHeight="false" outlineLevel="0" collapsed="false">
      <c r="R203" s="0"/>
      <c r="S203" s="0"/>
    </row>
    <row r="204" s="1" customFormat="true" ht="14.25" hidden="false" customHeight="false" outlineLevel="0" collapsed="false">
      <c r="R204" s="0"/>
      <c r="S204" s="0"/>
    </row>
    <row r="205" s="1" customFormat="true" ht="14.25" hidden="false" customHeight="false" outlineLevel="0" collapsed="false">
      <c r="R205" s="0"/>
      <c r="S205" s="0"/>
    </row>
    <row r="206" s="1" customFormat="true" ht="14.25" hidden="false" customHeight="false" outlineLevel="0" collapsed="false">
      <c r="R206" s="0"/>
      <c r="S206" s="0"/>
    </row>
    <row r="207" s="1" customFormat="true" ht="14.25" hidden="false" customHeight="false" outlineLevel="0" collapsed="false">
      <c r="R207" s="0"/>
      <c r="S207" s="0"/>
    </row>
    <row r="208" s="1" customFormat="true" ht="14.25" hidden="false" customHeight="false" outlineLevel="0" collapsed="false">
      <c r="R208" s="0"/>
      <c r="S208" s="0"/>
    </row>
    <row r="209" s="1" customFormat="true" ht="14.25" hidden="false" customHeight="false" outlineLevel="0" collapsed="false">
      <c r="R209" s="0"/>
      <c r="S209" s="0"/>
    </row>
    <row r="210" s="1" customFormat="true" ht="14.25" hidden="false" customHeight="false" outlineLevel="0" collapsed="false">
      <c r="R210" s="0"/>
      <c r="S210" s="0"/>
    </row>
    <row r="211" s="1" customFormat="true" ht="14.25" hidden="false" customHeight="false" outlineLevel="0" collapsed="false">
      <c r="R211" s="0"/>
      <c r="S211" s="0"/>
    </row>
    <row r="212" s="1" customFormat="true" ht="14.25" hidden="false" customHeight="false" outlineLevel="0" collapsed="false">
      <c r="R212" s="0"/>
      <c r="S212" s="0"/>
    </row>
    <row r="213" s="1" customFormat="true" ht="14.25" hidden="false" customHeight="false" outlineLevel="0" collapsed="false">
      <c r="R213" s="0"/>
      <c r="S213" s="0"/>
    </row>
    <row r="214" s="1" customFormat="true" ht="14.25" hidden="false" customHeight="false" outlineLevel="0" collapsed="false">
      <c r="R214" s="0"/>
      <c r="S214" s="0"/>
    </row>
    <row r="215" s="1" customFormat="true" ht="14.25" hidden="false" customHeight="false" outlineLevel="0" collapsed="false">
      <c r="R215" s="0"/>
      <c r="S215" s="0"/>
    </row>
    <row r="216" s="1" customFormat="true" ht="14.25" hidden="false" customHeight="false" outlineLevel="0" collapsed="false">
      <c r="R216" s="0"/>
      <c r="S216" s="0"/>
    </row>
    <row r="217" s="1" customFormat="true" ht="14.25" hidden="false" customHeight="false" outlineLevel="0" collapsed="false">
      <c r="R217" s="0"/>
      <c r="S217" s="0"/>
    </row>
    <row r="218" s="1" customFormat="true" ht="14.25" hidden="false" customHeight="false" outlineLevel="0" collapsed="false">
      <c r="R218" s="0"/>
      <c r="S218" s="0"/>
    </row>
    <row r="219" s="1" customFormat="true" ht="14.25" hidden="false" customHeight="false" outlineLevel="0" collapsed="false">
      <c r="R219" s="0"/>
      <c r="S219" s="0"/>
    </row>
    <row r="220" s="1" customFormat="true" ht="14.25" hidden="false" customHeight="false" outlineLevel="0" collapsed="false">
      <c r="R220" s="0"/>
      <c r="S220" s="0"/>
    </row>
    <row r="221" s="1" customFormat="true" ht="14.25" hidden="false" customHeight="false" outlineLevel="0" collapsed="false">
      <c r="R221" s="0"/>
      <c r="S221" s="0"/>
    </row>
    <row r="222" s="1" customFormat="true" ht="14.25" hidden="false" customHeight="false" outlineLevel="0" collapsed="false">
      <c r="R222" s="0"/>
      <c r="S222" s="0"/>
    </row>
    <row r="223" s="1" customFormat="true" ht="14.25" hidden="false" customHeight="false" outlineLevel="0" collapsed="false">
      <c r="R223" s="0"/>
      <c r="S223" s="0"/>
    </row>
    <row r="224" s="1" customFormat="true" ht="14.25" hidden="false" customHeight="false" outlineLevel="0" collapsed="false">
      <c r="R224" s="0"/>
      <c r="S224" s="0"/>
    </row>
    <row r="225" s="1" customFormat="true" ht="14.25" hidden="false" customHeight="false" outlineLevel="0" collapsed="false">
      <c r="R225" s="0"/>
      <c r="S225" s="0"/>
    </row>
    <row r="226" s="1" customFormat="true" ht="14.25" hidden="false" customHeight="false" outlineLevel="0" collapsed="false">
      <c r="R226" s="0"/>
      <c r="S226" s="0"/>
    </row>
    <row r="227" s="1" customFormat="true" ht="14.25" hidden="false" customHeight="false" outlineLevel="0" collapsed="false">
      <c r="R227" s="0"/>
      <c r="S227" s="0"/>
    </row>
    <row r="228" s="1" customFormat="true" ht="14.25" hidden="false" customHeight="false" outlineLevel="0" collapsed="false">
      <c r="R228" s="0"/>
      <c r="S228" s="0"/>
    </row>
    <row r="229" s="1" customFormat="true" ht="14.25" hidden="false" customHeight="false" outlineLevel="0" collapsed="false">
      <c r="R229" s="0"/>
      <c r="S229" s="0"/>
    </row>
    <row r="230" s="1" customFormat="true" ht="14.25" hidden="false" customHeight="false" outlineLevel="0" collapsed="false">
      <c r="R230" s="0"/>
      <c r="S230" s="0"/>
    </row>
    <row r="231" s="1" customFormat="true" ht="14.25" hidden="false" customHeight="false" outlineLevel="0" collapsed="false">
      <c r="R231" s="0"/>
      <c r="S231" s="0"/>
    </row>
    <row r="232" s="1" customFormat="true" ht="14.25" hidden="false" customHeight="false" outlineLevel="0" collapsed="false">
      <c r="R232" s="0"/>
      <c r="S232" s="0"/>
    </row>
    <row r="233" s="1" customFormat="true" ht="14.25" hidden="false" customHeight="false" outlineLevel="0" collapsed="false">
      <c r="R233" s="0"/>
      <c r="S233" s="0"/>
    </row>
    <row r="234" s="1" customFormat="true" ht="14.25" hidden="false" customHeight="false" outlineLevel="0" collapsed="false">
      <c r="R234" s="0"/>
      <c r="S234" s="0"/>
    </row>
    <row r="235" s="1" customFormat="true" ht="14.25" hidden="false" customHeight="false" outlineLevel="0" collapsed="false">
      <c r="R235" s="0"/>
      <c r="S235" s="0"/>
    </row>
    <row r="236" s="1" customFormat="true" ht="14.25" hidden="false" customHeight="false" outlineLevel="0" collapsed="false">
      <c r="R236" s="0"/>
      <c r="S236" s="0"/>
    </row>
    <row r="237" s="1" customFormat="true" ht="14.25" hidden="false" customHeight="false" outlineLevel="0" collapsed="false">
      <c r="R237" s="0"/>
      <c r="S237" s="0"/>
    </row>
    <row r="238" s="1" customFormat="true" ht="14.25" hidden="false" customHeight="false" outlineLevel="0" collapsed="false">
      <c r="R238" s="0"/>
      <c r="S238" s="0"/>
    </row>
    <row r="239" s="1" customFormat="true" ht="14.25" hidden="false" customHeight="false" outlineLevel="0" collapsed="false">
      <c r="R239" s="0"/>
      <c r="S239" s="0"/>
    </row>
    <row r="240" s="1" customFormat="true" ht="14.25" hidden="false" customHeight="false" outlineLevel="0" collapsed="false">
      <c r="R240" s="0"/>
      <c r="S240" s="0"/>
    </row>
    <row r="241" s="1" customFormat="true" ht="14.25" hidden="false" customHeight="false" outlineLevel="0" collapsed="false">
      <c r="R241" s="0"/>
      <c r="S241" s="0"/>
    </row>
    <row r="242" s="1" customFormat="true" ht="14.25" hidden="false" customHeight="false" outlineLevel="0" collapsed="false">
      <c r="R242" s="0"/>
      <c r="S242" s="0"/>
    </row>
    <row r="243" s="1" customFormat="true" ht="14.25" hidden="false" customHeight="false" outlineLevel="0" collapsed="false">
      <c r="R243" s="0"/>
      <c r="S243" s="0"/>
    </row>
    <row r="244" s="1" customFormat="true" ht="14.25" hidden="false" customHeight="false" outlineLevel="0" collapsed="false">
      <c r="R244" s="0"/>
      <c r="S244" s="0"/>
    </row>
    <row r="245" s="1" customFormat="true" ht="14.25" hidden="false" customHeight="false" outlineLevel="0" collapsed="false">
      <c r="R245" s="0"/>
      <c r="S245" s="0"/>
    </row>
    <row r="246" s="1" customFormat="true" ht="14.25" hidden="false" customHeight="false" outlineLevel="0" collapsed="false">
      <c r="R246" s="0"/>
      <c r="S246" s="0"/>
    </row>
    <row r="247" s="1" customFormat="true" ht="14.25" hidden="false" customHeight="false" outlineLevel="0" collapsed="false">
      <c r="R247" s="0"/>
      <c r="S247" s="0"/>
    </row>
    <row r="248" s="1" customFormat="true" ht="14.25" hidden="false" customHeight="false" outlineLevel="0" collapsed="false">
      <c r="R248" s="0"/>
      <c r="S248" s="0"/>
    </row>
    <row r="249" s="1" customFormat="true" ht="14.25" hidden="false" customHeight="false" outlineLevel="0" collapsed="false">
      <c r="R249" s="0"/>
      <c r="S249" s="0"/>
    </row>
    <row r="250" s="1" customFormat="true" ht="14.25" hidden="false" customHeight="false" outlineLevel="0" collapsed="false">
      <c r="R250" s="0"/>
      <c r="S250" s="0"/>
    </row>
    <row r="251" s="1" customFormat="true" ht="14.25" hidden="false" customHeight="false" outlineLevel="0" collapsed="false">
      <c r="R251" s="0"/>
      <c r="S251" s="0"/>
    </row>
    <row r="252" s="1" customFormat="true" ht="14.25" hidden="false" customHeight="false" outlineLevel="0" collapsed="false">
      <c r="R252" s="0"/>
      <c r="S252" s="0"/>
    </row>
    <row r="253" s="1" customFormat="true" ht="14.25" hidden="false" customHeight="false" outlineLevel="0" collapsed="false">
      <c r="R253" s="0"/>
      <c r="S253" s="0"/>
    </row>
    <row r="254" s="1" customFormat="true" ht="14.25" hidden="false" customHeight="false" outlineLevel="0" collapsed="false">
      <c r="R254" s="0"/>
      <c r="S254" s="0"/>
    </row>
    <row r="255" s="1" customFormat="true" ht="14.25" hidden="false" customHeight="false" outlineLevel="0" collapsed="false">
      <c r="R255" s="0"/>
      <c r="S255" s="0"/>
    </row>
    <row r="256" s="1" customFormat="true" ht="14.25" hidden="false" customHeight="false" outlineLevel="0" collapsed="false">
      <c r="R256" s="0"/>
      <c r="S256" s="0"/>
    </row>
    <row r="257" s="1" customFormat="true" ht="14.25" hidden="false" customHeight="false" outlineLevel="0" collapsed="false">
      <c r="R257" s="0"/>
      <c r="S257" s="0"/>
    </row>
    <row r="258" s="1" customFormat="true" ht="14.25" hidden="false" customHeight="false" outlineLevel="0" collapsed="false">
      <c r="R258" s="0"/>
      <c r="S258" s="0"/>
    </row>
    <row r="259" s="1" customFormat="true" ht="14.25" hidden="false" customHeight="false" outlineLevel="0" collapsed="false">
      <c r="R259" s="0"/>
      <c r="S259" s="0"/>
    </row>
    <row r="260" s="1" customFormat="true" ht="14.25" hidden="false" customHeight="false" outlineLevel="0" collapsed="false">
      <c r="R260" s="0"/>
      <c r="S260" s="0"/>
    </row>
    <row r="261" s="1" customFormat="true" ht="14.25" hidden="false" customHeight="false" outlineLevel="0" collapsed="false">
      <c r="R261" s="0"/>
      <c r="S261" s="0"/>
    </row>
    <row r="262" s="1" customFormat="true" ht="14.25" hidden="false" customHeight="false" outlineLevel="0" collapsed="false">
      <c r="R262" s="0"/>
      <c r="S262" s="0"/>
    </row>
    <row r="263" s="1" customFormat="true" ht="14.25" hidden="false" customHeight="false" outlineLevel="0" collapsed="false">
      <c r="R263" s="0"/>
      <c r="S263" s="0"/>
    </row>
    <row r="264" s="1" customFormat="true" ht="14.25" hidden="false" customHeight="false" outlineLevel="0" collapsed="false">
      <c r="R264" s="0"/>
      <c r="S264" s="0"/>
    </row>
    <row r="265" s="1" customFormat="true" ht="14.25" hidden="false" customHeight="false" outlineLevel="0" collapsed="false">
      <c r="R265" s="0"/>
      <c r="S265" s="0"/>
    </row>
    <row r="266" s="1" customFormat="true" ht="14.25" hidden="false" customHeight="false" outlineLevel="0" collapsed="false">
      <c r="R266" s="0"/>
      <c r="S266" s="0"/>
    </row>
    <row r="267" s="1" customFormat="true" ht="14.25" hidden="false" customHeight="false" outlineLevel="0" collapsed="false">
      <c r="R267" s="0"/>
      <c r="S267" s="0"/>
    </row>
    <row r="268" s="1" customFormat="true" ht="14.25" hidden="false" customHeight="false" outlineLevel="0" collapsed="false">
      <c r="R268" s="0"/>
      <c r="S268" s="0"/>
    </row>
    <row r="269" s="1" customFormat="true" ht="14.25" hidden="false" customHeight="false" outlineLevel="0" collapsed="false">
      <c r="R269" s="0"/>
      <c r="S269" s="0"/>
    </row>
    <row r="270" s="1" customFormat="true" ht="14.25" hidden="false" customHeight="false" outlineLevel="0" collapsed="false">
      <c r="R270" s="0"/>
      <c r="S270" s="0"/>
    </row>
    <row r="271" s="1" customFormat="true" ht="14.25" hidden="false" customHeight="false" outlineLevel="0" collapsed="false">
      <c r="R271" s="0"/>
      <c r="S271" s="0"/>
    </row>
    <row r="272" s="1" customFormat="true" ht="14.25" hidden="false" customHeight="false" outlineLevel="0" collapsed="false">
      <c r="R272" s="0"/>
      <c r="S272" s="0"/>
    </row>
    <row r="273" s="1" customFormat="true" ht="14.25" hidden="false" customHeight="false" outlineLevel="0" collapsed="false">
      <c r="R273" s="0"/>
      <c r="S273" s="0"/>
    </row>
    <row r="274" s="1" customFormat="true" ht="14.25" hidden="false" customHeight="false" outlineLevel="0" collapsed="false">
      <c r="R274" s="0"/>
      <c r="S274" s="0"/>
    </row>
    <row r="275" s="1" customFormat="true" ht="14.25" hidden="false" customHeight="false" outlineLevel="0" collapsed="false">
      <c r="R275" s="0"/>
      <c r="S275" s="0"/>
    </row>
    <row r="276" s="1" customFormat="true" ht="14.25" hidden="false" customHeight="false" outlineLevel="0" collapsed="false">
      <c r="R276" s="0"/>
      <c r="S276" s="0"/>
    </row>
    <row r="277" s="1" customFormat="true" ht="14.25" hidden="false" customHeight="false" outlineLevel="0" collapsed="false">
      <c r="R277" s="0"/>
      <c r="S277" s="0"/>
    </row>
    <row r="278" s="1" customFormat="true" ht="14.25" hidden="false" customHeight="false" outlineLevel="0" collapsed="false">
      <c r="R278" s="0"/>
      <c r="S278" s="0"/>
    </row>
    <row r="279" s="1" customFormat="true" ht="14.25" hidden="false" customHeight="false" outlineLevel="0" collapsed="false">
      <c r="R279" s="0"/>
      <c r="S279" s="0"/>
    </row>
    <row r="280" s="1" customFormat="true" ht="14.25" hidden="false" customHeight="false" outlineLevel="0" collapsed="false">
      <c r="R280" s="0"/>
      <c r="S280" s="0"/>
    </row>
    <row r="281" s="1" customFormat="true" ht="14.25" hidden="false" customHeight="false" outlineLevel="0" collapsed="false">
      <c r="R281" s="0"/>
      <c r="S281" s="0"/>
    </row>
    <row r="282" s="1" customFormat="true" ht="14.25" hidden="false" customHeight="false" outlineLevel="0" collapsed="false">
      <c r="R282" s="0"/>
      <c r="S282" s="0"/>
    </row>
    <row r="283" s="1" customFormat="true" ht="14.25" hidden="false" customHeight="false" outlineLevel="0" collapsed="false">
      <c r="R283" s="0"/>
      <c r="S283" s="0"/>
    </row>
    <row r="284" s="1" customFormat="true" ht="14.25" hidden="false" customHeight="false" outlineLevel="0" collapsed="false">
      <c r="R284" s="0"/>
      <c r="S284" s="0"/>
    </row>
    <row r="285" s="1" customFormat="true" ht="14.25" hidden="false" customHeight="false" outlineLevel="0" collapsed="false">
      <c r="R285" s="0"/>
      <c r="S285" s="0"/>
    </row>
    <row r="286" s="1" customFormat="true" ht="14.25" hidden="false" customHeight="false" outlineLevel="0" collapsed="false">
      <c r="R286" s="0"/>
      <c r="S286" s="0"/>
    </row>
    <row r="287" s="1" customFormat="true" ht="14.25" hidden="false" customHeight="false" outlineLevel="0" collapsed="false">
      <c r="R287" s="0"/>
      <c r="S287" s="0"/>
    </row>
    <row r="288" s="1" customFormat="true" ht="14.25" hidden="false" customHeight="false" outlineLevel="0" collapsed="false">
      <c r="R288" s="0"/>
      <c r="S288" s="0"/>
    </row>
    <row r="289" s="1" customFormat="true" ht="14.25" hidden="false" customHeight="false" outlineLevel="0" collapsed="false">
      <c r="R289" s="0"/>
      <c r="S289" s="0"/>
    </row>
    <row r="290" s="1" customFormat="true" ht="14.25" hidden="false" customHeight="false" outlineLevel="0" collapsed="false">
      <c r="R290" s="0"/>
      <c r="S290" s="0"/>
    </row>
    <row r="291" s="1" customFormat="true" ht="14.25" hidden="false" customHeight="false" outlineLevel="0" collapsed="false">
      <c r="R291" s="0"/>
      <c r="S291" s="0"/>
    </row>
    <row r="292" s="1" customFormat="true" ht="14.25" hidden="false" customHeight="false" outlineLevel="0" collapsed="false">
      <c r="R292" s="0"/>
      <c r="S292" s="0"/>
    </row>
    <row r="293" s="1" customFormat="true" ht="14.25" hidden="false" customHeight="false" outlineLevel="0" collapsed="false">
      <c r="R293" s="0"/>
      <c r="S293" s="0"/>
    </row>
    <row r="294" s="1" customFormat="true" ht="14.25" hidden="false" customHeight="false" outlineLevel="0" collapsed="false">
      <c r="R294" s="0"/>
      <c r="S294" s="0"/>
    </row>
    <row r="295" s="1" customFormat="true" ht="14.25" hidden="false" customHeight="false" outlineLevel="0" collapsed="false">
      <c r="R295" s="0"/>
      <c r="S295" s="0"/>
    </row>
    <row r="296" s="1" customFormat="true" ht="14.25" hidden="false" customHeight="false" outlineLevel="0" collapsed="false">
      <c r="R296" s="0"/>
      <c r="S296" s="0"/>
    </row>
    <row r="297" s="1" customFormat="true" ht="14.25" hidden="false" customHeight="false" outlineLevel="0" collapsed="false">
      <c r="R297" s="0"/>
      <c r="S297" s="0"/>
    </row>
    <row r="298" s="1" customFormat="true" ht="14.25" hidden="false" customHeight="false" outlineLevel="0" collapsed="false">
      <c r="R298" s="0"/>
      <c r="S298" s="0"/>
    </row>
    <row r="299" s="1" customFormat="true" ht="14.25" hidden="false" customHeight="false" outlineLevel="0" collapsed="false">
      <c r="R299" s="0"/>
      <c r="S299" s="0"/>
    </row>
    <row r="300" s="1" customFormat="true" ht="14.25" hidden="false" customHeight="false" outlineLevel="0" collapsed="false">
      <c r="R300" s="0"/>
      <c r="S300" s="0"/>
    </row>
    <row r="301" s="1" customFormat="true" ht="14.25" hidden="false" customHeight="false" outlineLevel="0" collapsed="false">
      <c r="R301" s="0"/>
      <c r="S301" s="0"/>
    </row>
    <row r="302" s="1" customFormat="true" ht="14.25" hidden="false" customHeight="false" outlineLevel="0" collapsed="false">
      <c r="R302" s="0"/>
      <c r="S302" s="0"/>
    </row>
    <row r="303" s="1" customFormat="true" ht="14.25" hidden="false" customHeight="false" outlineLevel="0" collapsed="false">
      <c r="R303" s="0"/>
      <c r="S303" s="0"/>
    </row>
    <row r="304" s="1" customFormat="true" ht="14.25" hidden="false" customHeight="false" outlineLevel="0" collapsed="false">
      <c r="R304" s="0"/>
      <c r="S304" s="0"/>
    </row>
    <row r="305" s="1" customFormat="true" ht="14.25" hidden="false" customHeight="false" outlineLevel="0" collapsed="false">
      <c r="R305" s="0"/>
      <c r="S305" s="0"/>
    </row>
    <row r="306" s="1" customFormat="true" ht="14.25" hidden="false" customHeight="false" outlineLevel="0" collapsed="false">
      <c r="R306" s="0"/>
      <c r="S306" s="0"/>
    </row>
    <row r="307" s="1" customFormat="true" ht="14.25" hidden="false" customHeight="false" outlineLevel="0" collapsed="false">
      <c r="R307" s="0"/>
      <c r="S307" s="0"/>
    </row>
    <row r="308" s="1" customFormat="true" ht="14.25" hidden="false" customHeight="false" outlineLevel="0" collapsed="false">
      <c r="R308" s="0"/>
      <c r="S308" s="0"/>
    </row>
    <row r="309" s="1" customFormat="true" ht="14.25" hidden="false" customHeight="false" outlineLevel="0" collapsed="false">
      <c r="R309" s="0"/>
      <c r="S309" s="0"/>
    </row>
    <row r="310" s="1" customFormat="true" ht="14.25" hidden="false" customHeight="false" outlineLevel="0" collapsed="false">
      <c r="R310" s="0"/>
      <c r="S310" s="0"/>
    </row>
    <row r="311" s="1" customFormat="true" ht="14.25" hidden="false" customHeight="false" outlineLevel="0" collapsed="false">
      <c r="R311" s="0"/>
      <c r="S311" s="0"/>
    </row>
    <row r="312" s="1" customFormat="true" ht="14.25" hidden="false" customHeight="false" outlineLevel="0" collapsed="false">
      <c r="R312" s="0"/>
      <c r="S312" s="0"/>
    </row>
    <row r="313" s="1" customFormat="true" ht="14.25" hidden="false" customHeight="false" outlineLevel="0" collapsed="false">
      <c r="R313" s="0"/>
      <c r="S313" s="0"/>
    </row>
    <row r="314" s="1" customFormat="true" ht="14.25" hidden="false" customHeight="false" outlineLevel="0" collapsed="false">
      <c r="R314" s="0"/>
      <c r="S314" s="0"/>
    </row>
    <row r="315" s="1" customFormat="true" ht="14.25" hidden="false" customHeight="false" outlineLevel="0" collapsed="false">
      <c r="R315" s="0"/>
      <c r="S315" s="0"/>
    </row>
    <row r="316" s="1" customFormat="true" ht="14.25" hidden="false" customHeight="false" outlineLevel="0" collapsed="false">
      <c r="R316" s="0"/>
      <c r="S316" s="0"/>
    </row>
    <row r="317" s="1" customFormat="true" ht="14.25" hidden="false" customHeight="false" outlineLevel="0" collapsed="false">
      <c r="R317" s="0"/>
      <c r="S317" s="0"/>
    </row>
    <row r="318" s="1" customFormat="true" ht="14.25" hidden="false" customHeight="false" outlineLevel="0" collapsed="false">
      <c r="R318" s="0"/>
      <c r="S318" s="0"/>
    </row>
    <row r="319" s="1" customFormat="true" ht="14.25" hidden="false" customHeight="false" outlineLevel="0" collapsed="false">
      <c r="R319" s="0"/>
      <c r="S319" s="0"/>
    </row>
    <row r="320" s="1" customFormat="true" ht="14.25" hidden="false" customHeight="false" outlineLevel="0" collapsed="false">
      <c r="R320" s="0"/>
      <c r="S320" s="0"/>
    </row>
    <row r="321" s="1" customFormat="true" ht="14.25" hidden="false" customHeight="false" outlineLevel="0" collapsed="false">
      <c r="R321" s="0"/>
      <c r="S321" s="0"/>
    </row>
    <row r="322" s="1" customFormat="true" ht="14.25" hidden="false" customHeight="false" outlineLevel="0" collapsed="false">
      <c r="R322" s="0"/>
      <c r="S322" s="0"/>
    </row>
    <row r="323" s="1" customFormat="true" ht="14.25" hidden="false" customHeight="false" outlineLevel="0" collapsed="false">
      <c r="R323" s="0"/>
      <c r="S323" s="0"/>
    </row>
    <row r="324" s="1" customFormat="true" ht="14.25" hidden="false" customHeight="false" outlineLevel="0" collapsed="false">
      <c r="R324" s="0"/>
      <c r="S324" s="0"/>
    </row>
    <row r="325" s="1" customFormat="true" ht="14.25" hidden="false" customHeight="false" outlineLevel="0" collapsed="false">
      <c r="R325" s="0"/>
      <c r="S325" s="0"/>
    </row>
    <row r="326" s="1" customFormat="true" ht="14.25" hidden="false" customHeight="false" outlineLevel="0" collapsed="false">
      <c r="R326" s="0"/>
      <c r="S326" s="0"/>
    </row>
    <row r="327" s="1" customFormat="true" ht="14.25" hidden="false" customHeight="false" outlineLevel="0" collapsed="false">
      <c r="R327" s="0"/>
      <c r="S327" s="0"/>
    </row>
    <row r="328" s="1" customFormat="true" ht="14.25" hidden="false" customHeight="false" outlineLevel="0" collapsed="false">
      <c r="R328" s="0"/>
      <c r="S328" s="0"/>
    </row>
    <row r="329" s="1" customFormat="true" ht="14.25" hidden="false" customHeight="false" outlineLevel="0" collapsed="false">
      <c r="R329" s="0"/>
      <c r="S329" s="0"/>
    </row>
    <row r="330" s="1" customFormat="true" ht="14.25" hidden="false" customHeight="false" outlineLevel="0" collapsed="false">
      <c r="R330" s="0"/>
      <c r="S330" s="0"/>
    </row>
    <row r="331" s="1" customFormat="true" ht="14.25" hidden="false" customHeight="false" outlineLevel="0" collapsed="false">
      <c r="R331" s="0"/>
      <c r="S331" s="0"/>
    </row>
    <row r="332" s="1" customFormat="true" ht="14.25" hidden="false" customHeight="false" outlineLevel="0" collapsed="false">
      <c r="R332" s="0"/>
      <c r="S332" s="0"/>
    </row>
    <row r="333" s="1" customFormat="true" ht="14.25" hidden="false" customHeight="false" outlineLevel="0" collapsed="false">
      <c r="R333" s="0"/>
      <c r="S333" s="0"/>
    </row>
    <row r="334" s="1" customFormat="true" ht="14.25" hidden="false" customHeight="false" outlineLevel="0" collapsed="false">
      <c r="R334" s="0"/>
      <c r="S334" s="0"/>
    </row>
    <row r="335" s="1" customFormat="true" ht="14.25" hidden="false" customHeight="false" outlineLevel="0" collapsed="false">
      <c r="R335" s="0"/>
      <c r="S335" s="0"/>
    </row>
    <row r="336" s="1" customFormat="true" ht="14.25" hidden="false" customHeight="false" outlineLevel="0" collapsed="false">
      <c r="R336" s="0"/>
      <c r="S336" s="0"/>
    </row>
    <row r="337" s="1" customFormat="true" ht="14.25" hidden="false" customHeight="false" outlineLevel="0" collapsed="false">
      <c r="R337" s="0"/>
      <c r="S337" s="0"/>
    </row>
    <row r="338" s="1" customFormat="true" ht="14.25" hidden="false" customHeight="false" outlineLevel="0" collapsed="false">
      <c r="R338" s="0"/>
      <c r="S338" s="0"/>
    </row>
    <row r="339" s="1" customFormat="true" ht="14.25" hidden="false" customHeight="false" outlineLevel="0" collapsed="false">
      <c r="R339" s="0"/>
      <c r="S339" s="0"/>
    </row>
    <row r="340" s="1" customFormat="true" ht="14.25" hidden="false" customHeight="false" outlineLevel="0" collapsed="false">
      <c r="R340" s="0"/>
      <c r="S340" s="0"/>
    </row>
    <row r="341" s="1" customFormat="true" ht="14.25" hidden="false" customHeight="false" outlineLevel="0" collapsed="false">
      <c r="R341" s="0"/>
      <c r="S341" s="0"/>
    </row>
    <row r="342" s="1" customFormat="true" ht="14.25" hidden="false" customHeight="false" outlineLevel="0" collapsed="false">
      <c r="R342" s="0"/>
      <c r="S342" s="0"/>
    </row>
    <row r="343" s="1" customFormat="true" ht="14.25" hidden="false" customHeight="false" outlineLevel="0" collapsed="false">
      <c r="R343" s="0"/>
      <c r="S343" s="0"/>
    </row>
    <row r="344" s="1" customFormat="true" ht="14.25" hidden="false" customHeight="false" outlineLevel="0" collapsed="false">
      <c r="R344" s="0"/>
      <c r="S344" s="0"/>
    </row>
    <row r="345" s="1" customFormat="true" ht="14.25" hidden="false" customHeight="false" outlineLevel="0" collapsed="false">
      <c r="R345" s="0"/>
      <c r="S345" s="0"/>
    </row>
    <row r="346" s="1" customFormat="true" ht="14.25" hidden="false" customHeight="false" outlineLevel="0" collapsed="false">
      <c r="R346" s="0"/>
      <c r="S346" s="0"/>
    </row>
    <row r="347" s="1" customFormat="true" ht="14.25" hidden="false" customHeight="false" outlineLevel="0" collapsed="false">
      <c r="R347" s="0"/>
      <c r="S347" s="0"/>
    </row>
    <row r="348" s="1" customFormat="true" ht="14.25" hidden="false" customHeight="false" outlineLevel="0" collapsed="false">
      <c r="R348" s="0"/>
      <c r="S348" s="0"/>
    </row>
    <row r="349" s="1" customFormat="true" ht="14.25" hidden="false" customHeight="false" outlineLevel="0" collapsed="false">
      <c r="R349" s="0"/>
      <c r="S349" s="0"/>
    </row>
    <row r="350" s="1" customFormat="true" ht="14.25" hidden="false" customHeight="false" outlineLevel="0" collapsed="false">
      <c r="R350" s="0"/>
      <c r="S350" s="0"/>
    </row>
    <row r="351" s="1" customFormat="true" ht="14.25" hidden="false" customHeight="false" outlineLevel="0" collapsed="false">
      <c r="R351" s="0"/>
      <c r="S351" s="0"/>
    </row>
    <row r="352" s="1" customFormat="true" ht="14.25" hidden="false" customHeight="false" outlineLevel="0" collapsed="false">
      <c r="R352" s="0"/>
      <c r="S352" s="0"/>
    </row>
    <row r="353" s="1" customFormat="true" ht="14.25" hidden="false" customHeight="false" outlineLevel="0" collapsed="false">
      <c r="R353" s="0"/>
      <c r="S353" s="0"/>
    </row>
    <row r="354" s="1" customFormat="true" ht="14.25" hidden="false" customHeight="false" outlineLevel="0" collapsed="false">
      <c r="R354" s="0"/>
      <c r="S354" s="0"/>
    </row>
    <row r="355" s="1" customFormat="true" ht="14.25" hidden="false" customHeight="false" outlineLevel="0" collapsed="false">
      <c r="R355" s="0"/>
      <c r="S355" s="0"/>
    </row>
    <row r="356" s="1" customFormat="true" ht="14.25" hidden="false" customHeight="false" outlineLevel="0" collapsed="false">
      <c r="R356" s="0"/>
      <c r="S356" s="0"/>
    </row>
    <row r="357" s="1" customFormat="true" ht="14.25" hidden="false" customHeight="false" outlineLevel="0" collapsed="false">
      <c r="R357" s="0"/>
      <c r="S357" s="0"/>
    </row>
    <row r="358" s="1" customFormat="true" ht="14.25" hidden="false" customHeight="false" outlineLevel="0" collapsed="false">
      <c r="R358" s="0"/>
      <c r="S358" s="0"/>
    </row>
    <row r="359" s="1" customFormat="true" ht="14.25" hidden="false" customHeight="false" outlineLevel="0" collapsed="false">
      <c r="R359" s="0"/>
      <c r="S359" s="0"/>
    </row>
    <row r="360" s="1" customFormat="true" ht="14.25" hidden="false" customHeight="false" outlineLevel="0" collapsed="false">
      <c r="R360" s="0"/>
      <c r="S360" s="0"/>
    </row>
    <row r="361" s="1" customFormat="true" ht="14.25" hidden="false" customHeight="false" outlineLevel="0" collapsed="false">
      <c r="R361" s="0"/>
      <c r="S361" s="0"/>
    </row>
    <row r="362" s="1" customFormat="true" ht="14.25" hidden="false" customHeight="false" outlineLevel="0" collapsed="false">
      <c r="R362" s="0"/>
      <c r="S362" s="0"/>
    </row>
    <row r="363" s="1" customFormat="true" ht="14.25" hidden="false" customHeight="false" outlineLevel="0" collapsed="false">
      <c r="R363" s="0"/>
      <c r="S363" s="0"/>
    </row>
    <row r="364" s="1" customFormat="true" ht="14.25" hidden="false" customHeight="false" outlineLevel="0" collapsed="false">
      <c r="R364" s="0"/>
      <c r="S364" s="0"/>
    </row>
    <row r="365" s="1" customFormat="true" ht="14.25" hidden="false" customHeight="false" outlineLevel="0" collapsed="false">
      <c r="R365" s="0"/>
      <c r="S365" s="0"/>
    </row>
    <row r="366" s="1" customFormat="true" ht="14.25" hidden="false" customHeight="false" outlineLevel="0" collapsed="false">
      <c r="R366" s="0"/>
      <c r="S366" s="0"/>
    </row>
    <row r="367" s="1" customFormat="true" ht="14.25" hidden="false" customHeight="false" outlineLevel="0" collapsed="false">
      <c r="R367" s="0"/>
      <c r="S367" s="0"/>
    </row>
    <row r="368" s="1" customFormat="true" ht="14.25" hidden="false" customHeight="false" outlineLevel="0" collapsed="false">
      <c r="R368" s="0"/>
      <c r="S368" s="0"/>
    </row>
    <row r="369" s="1" customFormat="true" ht="14.25" hidden="false" customHeight="false" outlineLevel="0" collapsed="false">
      <c r="R369" s="0"/>
      <c r="S369" s="0"/>
    </row>
    <row r="370" s="1" customFormat="true" ht="14.25" hidden="false" customHeight="false" outlineLevel="0" collapsed="false">
      <c r="R370" s="0"/>
      <c r="S370" s="0"/>
    </row>
    <row r="371" s="1" customFormat="true" ht="14.25" hidden="false" customHeight="false" outlineLevel="0" collapsed="false">
      <c r="R371" s="0"/>
      <c r="S371" s="0"/>
    </row>
    <row r="372" s="1" customFormat="true" ht="14.25" hidden="false" customHeight="false" outlineLevel="0" collapsed="false">
      <c r="R372" s="0"/>
      <c r="S372" s="0"/>
    </row>
    <row r="373" s="1" customFormat="true" ht="14.25" hidden="false" customHeight="false" outlineLevel="0" collapsed="false">
      <c r="R373" s="0"/>
      <c r="S373" s="0"/>
    </row>
    <row r="374" s="1" customFormat="true" ht="14.25" hidden="false" customHeight="false" outlineLevel="0" collapsed="false">
      <c r="R374" s="0"/>
      <c r="S374" s="0"/>
    </row>
    <row r="375" s="1" customFormat="true" ht="14.25" hidden="false" customHeight="false" outlineLevel="0" collapsed="false">
      <c r="R375" s="0"/>
      <c r="S375" s="0"/>
    </row>
    <row r="376" s="1" customFormat="true" ht="14.25" hidden="false" customHeight="false" outlineLevel="0" collapsed="false">
      <c r="R376" s="0"/>
      <c r="S376" s="0"/>
    </row>
    <row r="377" s="1" customFormat="true" ht="14.25" hidden="false" customHeight="false" outlineLevel="0" collapsed="false">
      <c r="R377" s="0"/>
      <c r="S377" s="0"/>
    </row>
    <row r="378" s="1" customFormat="true" ht="14.25" hidden="false" customHeight="false" outlineLevel="0" collapsed="false">
      <c r="R378" s="0"/>
      <c r="S378" s="0"/>
    </row>
    <row r="379" s="1" customFormat="true" ht="14.25" hidden="false" customHeight="false" outlineLevel="0" collapsed="false">
      <c r="R379" s="0"/>
      <c r="S379" s="0"/>
    </row>
    <row r="380" s="1" customFormat="true" ht="14.25" hidden="false" customHeight="false" outlineLevel="0" collapsed="false">
      <c r="R380" s="0"/>
      <c r="S380" s="0"/>
    </row>
    <row r="381" s="1" customFormat="true" ht="14.25" hidden="false" customHeight="false" outlineLevel="0" collapsed="false">
      <c r="R381" s="0"/>
      <c r="S381" s="0"/>
    </row>
    <row r="382" s="1" customFormat="true" ht="14.25" hidden="false" customHeight="false" outlineLevel="0" collapsed="false">
      <c r="R382" s="0"/>
      <c r="S382" s="0"/>
    </row>
    <row r="383" s="1" customFormat="true" ht="14.25" hidden="false" customHeight="false" outlineLevel="0" collapsed="false">
      <c r="R383" s="0"/>
      <c r="S383" s="0"/>
    </row>
    <row r="384" s="1" customFormat="true" ht="14.25" hidden="false" customHeight="false" outlineLevel="0" collapsed="false">
      <c r="R384" s="0"/>
      <c r="S384" s="0"/>
    </row>
    <row r="385" s="1" customFormat="true" ht="14.25" hidden="false" customHeight="false" outlineLevel="0" collapsed="false">
      <c r="R385" s="0"/>
      <c r="S385" s="0"/>
    </row>
    <row r="386" s="1" customFormat="true" ht="14.25" hidden="false" customHeight="false" outlineLevel="0" collapsed="false">
      <c r="R386" s="0"/>
      <c r="S386" s="0"/>
    </row>
    <row r="387" s="1" customFormat="true" ht="14.25" hidden="false" customHeight="false" outlineLevel="0" collapsed="false">
      <c r="R387" s="0"/>
      <c r="S387" s="0"/>
    </row>
    <row r="388" s="1" customFormat="true" ht="14.25" hidden="false" customHeight="false" outlineLevel="0" collapsed="false">
      <c r="R388" s="0"/>
      <c r="S388" s="0"/>
    </row>
    <row r="389" s="1" customFormat="true" ht="14.25" hidden="false" customHeight="false" outlineLevel="0" collapsed="false">
      <c r="R389" s="0"/>
      <c r="S389" s="0"/>
    </row>
    <row r="390" s="1" customFormat="true" ht="14.25" hidden="false" customHeight="false" outlineLevel="0" collapsed="false">
      <c r="R390" s="0"/>
      <c r="S390" s="0"/>
    </row>
    <row r="391" s="1" customFormat="true" ht="14.25" hidden="false" customHeight="false" outlineLevel="0" collapsed="false">
      <c r="R391" s="0"/>
      <c r="S391" s="0"/>
    </row>
    <row r="392" s="1" customFormat="true" ht="14.25" hidden="false" customHeight="false" outlineLevel="0" collapsed="false">
      <c r="R392" s="0"/>
      <c r="S392" s="0"/>
    </row>
    <row r="393" s="1" customFormat="true" ht="14.25" hidden="false" customHeight="false" outlineLevel="0" collapsed="false">
      <c r="R393" s="0"/>
      <c r="S393" s="0"/>
    </row>
    <row r="394" s="1" customFormat="true" ht="14.25" hidden="false" customHeight="false" outlineLevel="0" collapsed="false">
      <c r="R394" s="0"/>
      <c r="S394" s="0"/>
    </row>
    <row r="395" s="1" customFormat="true" ht="14.25" hidden="false" customHeight="false" outlineLevel="0" collapsed="false">
      <c r="R395" s="0"/>
      <c r="S395" s="0"/>
    </row>
    <row r="396" s="1" customFormat="true" ht="14.25" hidden="false" customHeight="false" outlineLevel="0" collapsed="false">
      <c r="R396" s="0"/>
      <c r="S396" s="0"/>
    </row>
    <row r="397" s="1" customFormat="true" ht="14.25" hidden="false" customHeight="false" outlineLevel="0" collapsed="false">
      <c r="R397" s="0"/>
      <c r="S397" s="0"/>
    </row>
    <row r="398" s="1" customFormat="true" ht="14.25" hidden="false" customHeight="false" outlineLevel="0" collapsed="false">
      <c r="R398" s="0"/>
      <c r="S398" s="0"/>
    </row>
    <row r="399" s="1" customFormat="true" ht="14.25" hidden="false" customHeight="false" outlineLevel="0" collapsed="false">
      <c r="R399" s="0"/>
      <c r="S399" s="0"/>
    </row>
    <row r="400" s="1" customFormat="true" ht="14.25" hidden="false" customHeight="false" outlineLevel="0" collapsed="false">
      <c r="R400" s="0"/>
      <c r="S400" s="0"/>
    </row>
    <row r="401" s="1" customFormat="true" ht="14.25" hidden="false" customHeight="false" outlineLevel="0" collapsed="false">
      <c r="R401" s="0"/>
      <c r="S401" s="0"/>
    </row>
    <row r="402" s="1" customFormat="true" ht="14.25" hidden="false" customHeight="false" outlineLevel="0" collapsed="false">
      <c r="R402" s="0"/>
      <c r="S402" s="0"/>
    </row>
    <row r="403" s="1" customFormat="true" ht="14.25" hidden="false" customHeight="false" outlineLevel="0" collapsed="false">
      <c r="R403" s="0"/>
      <c r="S403" s="0"/>
    </row>
    <row r="404" s="1" customFormat="true" ht="14.25" hidden="false" customHeight="false" outlineLevel="0" collapsed="false">
      <c r="R404" s="0"/>
      <c r="S404" s="0"/>
    </row>
    <row r="405" s="1" customFormat="true" ht="14.25" hidden="false" customHeight="false" outlineLevel="0" collapsed="false">
      <c r="R405" s="0"/>
      <c r="S405" s="0"/>
    </row>
    <row r="406" s="1" customFormat="true" ht="14.25" hidden="false" customHeight="false" outlineLevel="0" collapsed="false">
      <c r="R406" s="0"/>
      <c r="S406" s="0"/>
    </row>
    <row r="407" s="1" customFormat="true" ht="14.25" hidden="false" customHeight="false" outlineLevel="0" collapsed="false">
      <c r="R407" s="0"/>
      <c r="S407" s="0"/>
    </row>
    <row r="408" s="1" customFormat="true" ht="14.25" hidden="false" customHeight="false" outlineLevel="0" collapsed="false">
      <c r="R408" s="0"/>
      <c r="S408" s="0"/>
    </row>
    <row r="409" s="1" customFormat="true" ht="14.25" hidden="false" customHeight="false" outlineLevel="0" collapsed="false">
      <c r="R409" s="0"/>
      <c r="S409" s="0"/>
    </row>
    <row r="410" s="1" customFormat="true" ht="14.25" hidden="false" customHeight="false" outlineLevel="0" collapsed="false">
      <c r="R410" s="0"/>
      <c r="S410" s="0"/>
    </row>
    <row r="411" s="1" customFormat="true" ht="14.25" hidden="false" customHeight="false" outlineLevel="0" collapsed="false">
      <c r="R411" s="0"/>
      <c r="S411" s="0"/>
    </row>
    <row r="412" s="1" customFormat="true" ht="14.25" hidden="false" customHeight="false" outlineLevel="0" collapsed="false">
      <c r="R412" s="0"/>
      <c r="S412" s="0"/>
    </row>
    <row r="413" s="1" customFormat="true" ht="14.25" hidden="false" customHeight="false" outlineLevel="0" collapsed="false">
      <c r="R413" s="0"/>
      <c r="S413" s="0"/>
    </row>
    <row r="414" s="1" customFormat="true" ht="14.25" hidden="false" customHeight="false" outlineLevel="0" collapsed="false">
      <c r="R414" s="0"/>
      <c r="S414" s="0"/>
    </row>
    <row r="415" s="1" customFormat="true" ht="14.25" hidden="false" customHeight="false" outlineLevel="0" collapsed="false">
      <c r="R415" s="0"/>
      <c r="S415" s="0"/>
    </row>
    <row r="416" s="1" customFormat="true" ht="14.25" hidden="false" customHeight="false" outlineLevel="0" collapsed="false">
      <c r="R416" s="0"/>
      <c r="S416" s="0"/>
    </row>
    <row r="417" s="1" customFormat="true" ht="14.25" hidden="false" customHeight="false" outlineLevel="0" collapsed="false">
      <c r="R417" s="0"/>
      <c r="S417" s="0"/>
    </row>
    <row r="418" s="1" customFormat="true" ht="14.25" hidden="false" customHeight="false" outlineLevel="0" collapsed="false">
      <c r="R418" s="0"/>
      <c r="S418" s="0"/>
    </row>
    <row r="419" s="1" customFormat="true" ht="14.25" hidden="false" customHeight="false" outlineLevel="0" collapsed="false">
      <c r="R419" s="0"/>
      <c r="S419" s="0"/>
    </row>
    <row r="420" s="1" customFormat="true" ht="14.25" hidden="false" customHeight="false" outlineLevel="0" collapsed="false">
      <c r="R420" s="0"/>
      <c r="S420" s="0"/>
    </row>
    <row r="421" s="1" customFormat="true" ht="14.25" hidden="false" customHeight="false" outlineLevel="0" collapsed="false">
      <c r="R421" s="0"/>
      <c r="S421" s="0"/>
    </row>
    <row r="422" s="1" customFormat="true" ht="14.25" hidden="false" customHeight="false" outlineLevel="0" collapsed="false">
      <c r="R422" s="0"/>
      <c r="S422" s="0"/>
    </row>
    <row r="423" s="1" customFormat="true" ht="14.25" hidden="false" customHeight="false" outlineLevel="0" collapsed="false">
      <c r="R423" s="0"/>
      <c r="S423" s="0"/>
    </row>
    <row r="424" s="1" customFormat="true" ht="14.25" hidden="false" customHeight="false" outlineLevel="0" collapsed="false">
      <c r="R424" s="0"/>
      <c r="S424" s="0"/>
    </row>
    <row r="425" s="1" customFormat="true" ht="14.25" hidden="false" customHeight="false" outlineLevel="0" collapsed="false">
      <c r="R425" s="0"/>
      <c r="S425" s="0"/>
    </row>
    <row r="426" s="1" customFormat="true" ht="14.25" hidden="false" customHeight="false" outlineLevel="0" collapsed="false">
      <c r="R426" s="0"/>
      <c r="S426" s="0"/>
    </row>
    <row r="427" s="1" customFormat="true" ht="14.25" hidden="false" customHeight="false" outlineLevel="0" collapsed="false">
      <c r="R427" s="0"/>
      <c r="S427" s="0"/>
    </row>
    <row r="428" s="1" customFormat="true" ht="14.25" hidden="false" customHeight="false" outlineLevel="0" collapsed="false">
      <c r="R428" s="0"/>
      <c r="S428" s="0"/>
    </row>
    <row r="429" s="1" customFormat="true" ht="14.25" hidden="false" customHeight="false" outlineLevel="0" collapsed="false">
      <c r="R429" s="0"/>
      <c r="S429" s="0"/>
    </row>
    <row r="430" s="1" customFormat="true" ht="14.25" hidden="false" customHeight="false" outlineLevel="0" collapsed="false">
      <c r="R430" s="0"/>
      <c r="S430" s="0"/>
    </row>
    <row r="431" s="1" customFormat="true" ht="14.25" hidden="false" customHeight="false" outlineLevel="0" collapsed="false">
      <c r="R431" s="0"/>
      <c r="S431" s="0"/>
    </row>
    <row r="432" s="1" customFormat="true" ht="14.25" hidden="false" customHeight="false" outlineLevel="0" collapsed="false">
      <c r="R432" s="0"/>
      <c r="S432" s="0"/>
    </row>
    <row r="433" s="1" customFormat="true" ht="14.25" hidden="false" customHeight="false" outlineLevel="0" collapsed="false">
      <c r="R433" s="0"/>
      <c r="S433" s="0"/>
    </row>
    <row r="434" s="1" customFormat="true" ht="14.25" hidden="false" customHeight="false" outlineLevel="0" collapsed="false">
      <c r="R434" s="0"/>
      <c r="S434" s="0"/>
    </row>
    <row r="435" s="1" customFormat="true" ht="14.25" hidden="false" customHeight="false" outlineLevel="0" collapsed="false">
      <c r="R435" s="0"/>
      <c r="S435" s="0"/>
    </row>
    <row r="436" s="1" customFormat="true" ht="14.25" hidden="false" customHeight="false" outlineLevel="0" collapsed="false">
      <c r="R436" s="0"/>
      <c r="S436" s="0"/>
    </row>
    <row r="437" s="1" customFormat="true" ht="14.25" hidden="false" customHeight="false" outlineLevel="0" collapsed="false">
      <c r="R437" s="0"/>
      <c r="S437" s="0"/>
    </row>
    <row r="438" s="1" customFormat="true" ht="14.25" hidden="false" customHeight="false" outlineLevel="0" collapsed="false">
      <c r="R438" s="0"/>
      <c r="S438" s="0"/>
    </row>
    <row r="439" s="1" customFormat="true" ht="14.25" hidden="false" customHeight="false" outlineLevel="0" collapsed="false">
      <c r="R439" s="0"/>
      <c r="S439" s="0"/>
    </row>
    <row r="440" s="1" customFormat="true" ht="14.25" hidden="false" customHeight="false" outlineLevel="0" collapsed="false">
      <c r="R440" s="0"/>
      <c r="S440" s="0"/>
    </row>
    <row r="441" s="1" customFormat="true" ht="14.25" hidden="false" customHeight="false" outlineLevel="0" collapsed="false">
      <c r="R441" s="0"/>
      <c r="S441" s="0"/>
    </row>
    <row r="442" s="1" customFormat="true" ht="14.25" hidden="false" customHeight="false" outlineLevel="0" collapsed="false">
      <c r="R442" s="0"/>
      <c r="S442" s="0"/>
    </row>
    <row r="443" s="1" customFormat="true" ht="14.25" hidden="false" customHeight="false" outlineLevel="0" collapsed="false">
      <c r="R443" s="0"/>
      <c r="S443" s="0"/>
    </row>
    <row r="444" s="1" customFormat="true" ht="14.25" hidden="false" customHeight="false" outlineLevel="0" collapsed="false">
      <c r="R444" s="0"/>
      <c r="S444" s="0"/>
    </row>
    <row r="445" s="1" customFormat="true" ht="14.25" hidden="false" customHeight="false" outlineLevel="0" collapsed="false">
      <c r="R445" s="0"/>
      <c r="S445" s="0"/>
    </row>
    <row r="446" s="1" customFormat="true" ht="14.25" hidden="false" customHeight="false" outlineLevel="0" collapsed="false">
      <c r="R446" s="0"/>
      <c r="S446" s="0"/>
    </row>
    <row r="447" s="1" customFormat="true" ht="14.25" hidden="false" customHeight="false" outlineLevel="0" collapsed="false">
      <c r="R447" s="0"/>
      <c r="S447" s="0"/>
    </row>
    <row r="448" s="1" customFormat="true" ht="14.25" hidden="false" customHeight="false" outlineLevel="0" collapsed="false">
      <c r="R448" s="0"/>
      <c r="S448" s="0"/>
    </row>
    <row r="449" s="1" customFormat="true" ht="14.25" hidden="false" customHeight="false" outlineLevel="0" collapsed="false">
      <c r="R449" s="0"/>
      <c r="S449" s="0"/>
    </row>
    <row r="450" s="1" customFormat="true" ht="14.25" hidden="false" customHeight="false" outlineLevel="0" collapsed="false">
      <c r="R450" s="0"/>
      <c r="S450" s="0"/>
    </row>
    <row r="451" s="1" customFormat="true" ht="14.25" hidden="false" customHeight="false" outlineLevel="0" collapsed="false">
      <c r="R451" s="0"/>
      <c r="S451" s="0"/>
    </row>
    <row r="452" s="1" customFormat="true" ht="14.25" hidden="false" customHeight="false" outlineLevel="0" collapsed="false">
      <c r="R452" s="0"/>
      <c r="S452" s="0"/>
    </row>
    <row r="453" s="1" customFormat="true" ht="14.25" hidden="false" customHeight="false" outlineLevel="0" collapsed="false">
      <c r="R453" s="0"/>
      <c r="S453" s="0"/>
    </row>
    <row r="454" s="1" customFormat="true" ht="14.25" hidden="false" customHeight="false" outlineLevel="0" collapsed="false">
      <c r="R454" s="0"/>
      <c r="S454" s="0"/>
    </row>
    <row r="455" s="1" customFormat="true" ht="14.25" hidden="false" customHeight="false" outlineLevel="0" collapsed="false">
      <c r="R455" s="0"/>
      <c r="S455" s="0"/>
    </row>
    <row r="456" s="1" customFormat="true" ht="14.25" hidden="false" customHeight="false" outlineLevel="0" collapsed="false">
      <c r="R456" s="0"/>
      <c r="S456" s="0"/>
    </row>
    <row r="457" s="1" customFormat="true" ht="14.25" hidden="false" customHeight="false" outlineLevel="0" collapsed="false">
      <c r="R457" s="0"/>
      <c r="S457" s="0"/>
    </row>
    <row r="458" s="1" customFormat="true" ht="14.25" hidden="false" customHeight="false" outlineLevel="0" collapsed="false">
      <c r="R458" s="0"/>
      <c r="S458" s="0"/>
    </row>
    <row r="459" s="1" customFormat="true" ht="14.25" hidden="false" customHeight="false" outlineLevel="0" collapsed="false">
      <c r="R459" s="0"/>
      <c r="S459" s="0"/>
    </row>
    <row r="460" s="1" customFormat="true" ht="14.25" hidden="false" customHeight="false" outlineLevel="0" collapsed="false">
      <c r="R460" s="0"/>
      <c r="S460" s="0"/>
    </row>
    <row r="461" s="1" customFormat="true" ht="14.25" hidden="false" customHeight="false" outlineLevel="0" collapsed="false">
      <c r="R461" s="0"/>
      <c r="S461" s="0"/>
    </row>
    <row r="462" s="1" customFormat="true" ht="14.25" hidden="false" customHeight="false" outlineLevel="0" collapsed="false">
      <c r="R462" s="0"/>
      <c r="S462" s="0"/>
    </row>
    <row r="463" s="1" customFormat="true" ht="14.25" hidden="false" customHeight="false" outlineLevel="0" collapsed="false">
      <c r="R463" s="0"/>
      <c r="S463" s="0"/>
    </row>
    <row r="464" s="1" customFormat="true" ht="14.25" hidden="false" customHeight="false" outlineLevel="0" collapsed="false">
      <c r="R464" s="0"/>
      <c r="S464" s="0"/>
    </row>
    <row r="465" s="1" customFormat="true" ht="14.25" hidden="false" customHeight="false" outlineLevel="0" collapsed="false">
      <c r="R465" s="0"/>
      <c r="S465" s="0"/>
    </row>
    <row r="466" s="1" customFormat="true" ht="14.25" hidden="false" customHeight="false" outlineLevel="0" collapsed="false">
      <c r="R466" s="0"/>
      <c r="S466" s="0"/>
    </row>
    <row r="467" s="1" customFormat="true" ht="14.25" hidden="false" customHeight="false" outlineLevel="0" collapsed="false">
      <c r="R467" s="0"/>
      <c r="S467" s="0"/>
    </row>
    <row r="468" s="1" customFormat="true" ht="14.25" hidden="false" customHeight="false" outlineLevel="0" collapsed="false">
      <c r="R468" s="0"/>
      <c r="S468" s="0"/>
    </row>
    <row r="469" s="1" customFormat="true" ht="14.25" hidden="false" customHeight="false" outlineLevel="0" collapsed="false">
      <c r="R469" s="0"/>
      <c r="S469" s="0"/>
    </row>
    <row r="470" s="1" customFormat="true" ht="14.25" hidden="false" customHeight="false" outlineLevel="0" collapsed="false">
      <c r="R470" s="0"/>
      <c r="S470" s="0"/>
    </row>
    <row r="471" s="1" customFormat="true" ht="14.25" hidden="false" customHeight="false" outlineLevel="0" collapsed="false">
      <c r="R471" s="0"/>
      <c r="S471" s="0"/>
    </row>
    <row r="472" s="1" customFormat="true" ht="14.25" hidden="false" customHeight="false" outlineLevel="0" collapsed="false">
      <c r="R472" s="0"/>
      <c r="S472" s="0"/>
    </row>
    <row r="473" s="1" customFormat="true" ht="14.25" hidden="false" customHeight="false" outlineLevel="0" collapsed="false">
      <c r="R473" s="0"/>
      <c r="S473" s="0"/>
    </row>
    <row r="474" s="1" customFormat="true" ht="14.25" hidden="false" customHeight="false" outlineLevel="0" collapsed="false">
      <c r="R474" s="0"/>
      <c r="S474" s="0"/>
    </row>
    <row r="475" s="1" customFormat="true" ht="14.25" hidden="false" customHeight="false" outlineLevel="0" collapsed="false">
      <c r="R475" s="0"/>
      <c r="S475" s="0"/>
    </row>
    <row r="476" s="1" customFormat="true" ht="14.25" hidden="false" customHeight="false" outlineLevel="0" collapsed="false">
      <c r="R476" s="0"/>
      <c r="S476" s="0"/>
    </row>
    <row r="477" s="1" customFormat="true" ht="14.25" hidden="false" customHeight="false" outlineLevel="0" collapsed="false">
      <c r="R477" s="0"/>
      <c r="S477" s="0"/>
    </row>
    <row r="478" s="1" customFormat="true" ht="14.25" hidden="false" customHeight="false" outlineLevel="0" collapsed="false">
      <c r="R478" s="0"/>
      <c r="S478" s="0"/>
    </row>
    <row r="479" s="1" customFormat="true" ht="14.25" hidden="false" customHeight="false" outlineLevel="0" collapsed="false">
      <c r="R479" s="0"/>
      <c r="S479" s="0"/>
    </row>
    <row r="480" s="1" customFormat="true" ht="14.25" hidden="false" customHeight="false" outlineLevel="0" collapsed="false">
      <c r="R480" s="0"/>
      <c r="S480" s="0"/>
    </row>
    <row r="481" s="1" customFormat="true" ht="14.25" hidden="false" customHeight="false" outlineLevel="0" collapsed="false">
      <c r="R481" s="0"/>
      <c r="S481" s="0"/>
    </row>
    <row r="482" s="1" customFormat="true" ht="14.25" hidden="false" customHeight="false" outlineLevel="0" collapsed="false">
      <c r="R482" s="0"/>
      <c r="S482" s="0"/>
    </row>
    <row r="483" s="1" customFormat="true" ht="14.25" hidden="false" customHeight="false" outlineLevel="0" collapsed="false">
      <c r="R483" s="0"/>
      <c r="S483" s="0"/>
    </row>
    <row r="484" s="1" customFormat="true" ht="14.25" hidden="false" customHeight="false" outlineLevel="0" collapsed="false">
      <c r="R484" s="0"/>
      <c r="S484" s="0"/>
    </row>
    <row r="485" s="1" customFormat="true" ht="14.25" hidden="false" customHeight="false" outlineLevel="0" collapsed="false">
      <c r="R485" s="0"/>
      <c r="S485" s="0"/>
    </row>
    <row r="486" s="1" customFormat="true" ht="14.25" hidden="false" customHeight="false" outlineLevel="0" collapsed="false">
      <c r="R486" s="0"/>
      <c r="S486" s="0"/>
    </row>
    <row r="487" s="1" customFormat="true" ht="14.25" hidden="false" customHeight="false" outlineLevel="0" collapsed="false">
      <c r="R487" s="0"/>
      <c r="S487" s="0"/>
    </row>
    <row r="488" s="1" customFormat="true" ht="14.25" hidden="false" customHeight="false" outlineLevel="0" collapsed="false">
      <c r="R488" s="0"/>
      <c r="S488" s="0"/>
    </row>
    <row r="489" s="1" customFormat="true" ht="14.25" hidden="false" customHeight="false" outlineLevel="0" collapsed="false">
      <c r="R489" s="0"/>
      <c r="S489" s="0"/>
    </row>
    <row r="490" s="1" customFormat="true" ht="14.25" hidden="false" customHeight="false" outlineLevel="0" collapsed="false">
      <c r="R490" s="0"/>
      <c r="S490" s="0"/>
    </row>
    <row r="491" s="1" customFormat="true" ht="14.25" hidden="false" customHeight="false" outlineLevel="0" collapsed="false">
      <c r="R491" s="0"/>
      <c r="S491" s="0"/>
    </row>
    <row r="492" s="1" customFormat="true" ht="14.25" hidden="false" customHeight="false" outlineLevel="0" collapsed="false">
      <c r="R492" s="0"/>
      <c r="S492" s="0"/>
    </row>
    <row r="493" s="1" customFormat="true" ht="14.25" hidden="false" customHeight="false" outlineLevel="0" collapsed="false">
      <c r="R493" s="0"/>
      <c r="S493" s="0"/>
    </row>
    <row r="494" s="1" customFormat="true" ht="14.25" hidden="false" customHeight="false" outlineLevel="0" collapsed="false">
      <c r="R494" s="0"/>
      <c r="S494" s="0"/>
    </row>
    <row r="495" s="1" customFormat="true" ht="14.25" hidden="false" customHeight="false" outlineLevel="0" collapsed="false">
      <c r="R495" s="0"/>
      <c r="S495" s="0"/>
    </row>
    <row r="496" s="1" customFormat="true" ht="14.25" hidden="false" customHeight="false" outlineLevel="0" collapsed="false">
      <c r="R496" s="0"/>
      <c r="S496" s="0"/>
    </row>
    <row r="497" s="1" customFormat="true" ht="14.25" hidden="false" customHeight="false" outlineLevel="0" collapsed="false">
      <c r="R497" s="0"/>
      <c r="S497" s="0"/>
    </row>
    <row r="498" s="1" customFormat="true" ht="14.25" hidden="false" customHeight="false" outlineLevel="0" collapsed="false">
      <c r="R498" s="0"/>
      <c r="S498" s="0"/>
    </row>
    <row r="499" s="1" customFormat="true" ht="14.25" hidden="false" customHeight="false" outlineLevel="0" collapsed="false">
      <c r="R499" s="0"/>
      <c r="S499" s="0"/>
    </row>
    <row r="500" s="1" customFormat="true" ht="14.25" hidden="false" customHeight="false" outlineLevel="0" collapsed="false">
      <c r="R500" s="0"/>
      <c r="S500" s="0"/>
    </row>
    <row r="501" s="1" customFormat="true" ht="14.25" hidden="false" customHeight="false" outlineLevel="0" collapsed="false">
      <c r="R501" s="0"/>
      <c r="S501" s="0"/>
    </row>
    <row r="502" s="1" customFormat="true" ht="14.25" hidden="false" customHeight="false" outlineLevel="0" collapsed="false">
      <c r="R502" s="0"/>
      <c r="S502" s="0"/>
    </row>
    <row r="503" s="1" customFormat="true" ht="14.25" hidden="false" customHeight="false" outlineLevel="0" collapsed="false">
      <c r="R503" s="0"/>
      <c r="S503" s="0"/>
    </row>
    <row r="504" s="1" customFormat="true" ht="14.25" hidden="false" customHeight="false" outlineLevel="0" collapsed="false">
      <c r="R504" s="0"/>
      <c r="S504" s="0"/>
    </row>
    <row r="505" s="1" customFormat="true" ht="14.25" hidden="false" customHeight="false" outlineLevel="0" collapsed="false">
      <c r="R505" s="0"/>
      <c r="S505" s="0"/>
    </row>
    <row r="506" s="1" customFormat="true" ht="14.25" hidden="false" customHeight="false" outlineLevel="0" collapsed="false">
      <c r="R506" s="0"/>
      <c r="S506" s="0"/>
    </row>
    <row r="507" s="1" customFormat="true" ht="14.25" hidden="false" customHeight="false" outlineLevel="0" collapsed="false">
      <c r="R507" s="0"/>
      <c r="S507" s="0"/>
    </row>
    <row r="508" s="1" customFormat="true" ht="14.25" hidden="false" customHeight="false" outlineLevel="0" collapsed="false">
      <c r="R508" s="0"/>
      <c r="S508" s="0"/>
    </row>
    <row r="509" s="1" customFormat="true" ht="14.25" hidden="false" customHeight="false" outlineLevel="0" collapsed="false">
      <c r="R509" s="0"/>
      <c r="S509" s="0"/>
    </row>
    <row r="510" s="1" customFormat="true" ht="14.25" hidden="false" customHeight="false" outlineLevel="0" collapsed="false">
      <c r="R510" s="0"/>
      <c r="S510" s="0"/>
    </row>
    <row r="511" s="1" customFormat="true" ht="14.25" hidden="false" customHeight="false" outlineLevel="0" collapsed="false">
      <c r="R511" s="0"/>
      <c r="S511" s="0"/>
    </row>
    <row r="512" s="1" customFormat="true" ht="14.25" hidden="false" customHeight="false" outlineLevel="0" collapsed="false">
      <c r="R512" s="0"/>
      <c r="S512" s="0"/>
    </row>
    <row r="513" s="1" customFormat="true" ht="14.25" hidden="false" customHeight="false" outlineLevel="0" collapsed="false">
      <c r="R513" s="0"/>
      <c r="S513" s="0"/>
    </row>
    <row r="514" s="1" customFormat="true" ht="14.25" hidden="false" customHeight="false" outlineLevel="0" collapsed="false">
      <c r="R514" s="0"/>
      <c r="S514" s="0"/>
    </row>
    <row r="515" s="1" customFormat="true" ht="14.25" hidden="false" customHeight="false" outlineLevel="0" collapsed="false">
      <c r="R515" s="0"/>
      <c r="S515" s="0"/>
    </row>
    <row r="516" s="1" customFormat="true" ht="14.25" hidden="false" customHeight="false" outlineLevel="0" collapsed="false">
      <c r="R516" s="0"/>
      <c r="S516" s="0"/>
    </row>
    <row r="517" s="1" customFormat="true" ht="14.25" hidden="false" customHeight="false" outlineLevel="0" collapsed="false">
      <c r="R517" s="0"/>
      <c r="S517" s="0"/>
    </row>
    <row r="518" s="1" customFormat="true" ht="14.25" hidden="false" customHeight="false" outlineLevel="0" collapsed="false">
      <c r="R518" s="0"/>
      <c r="S518" s="0"/>
    </row>
    <row r="519" s="1" customFormat="true" ht="14.25" hidden="false" customHeight="false" outlineLevel="0" collapsed="false">
      <c r="R519" s="0"/>
      <c r="S519" s="0"/>
    </row>
    <row r="520" s="1" customFormat="true" ht="14.25" hidden="false" customHeight="false" outlineLevel="0" collapsed="false">
      <c r="R520" s="0"/>
      <c r="S520" s="0"/>
    </row>
    <row r="521" s="1" customFormat="true" ht="14.25" hidden="false" customHeight="false" outlineLevel="0" collapsed="false">
      <c r="R521" s="0"/>
      <c r="S521" s="0"/>
    </row>
    <row r="522" s="1" customFormat="true" ht="14.25" hidden="false" customHeight="false" outlineLevel="0" collapsed="false">
      <c r="R522" s="0"/>
      <c r="S522" s="0"/>
    </row>
    <row r="523" s="1" customFormat="true" ht="14.25" hidden="false" customHeight="false" outlineLevel="0" collapsed="false">
      <c r="R523" s="0"/>
      <c r="S523" s="0"/>
    </row>
    <row r="524" s="1" customFormat="true" ht="14.25" hidden="false" customHeight="false" outlineLevel="0" collapsed="false">
      <c r="R524" s="0"/>
      <c r="S524" s="0"/>
    </row>
    <row r="525" s="1" customFormat="true" ht="14.25" hidden="false" customHeight="false" outlineLevel="0" collapsed="false">
      <c r="R525" s="0"/>
      <c r="S525" s="0"/>
    </row>
    <row r="526" s="1" customFormat="true" ht="14.25" hidden="false" customHeight="false" outlineLevel="0" collapsed="false">
      <c r="R526" s="0"/>
      <c r="S526" s="0"/>
    </row>
    <row r="527" s="1" customFormat="true" ht="14.25" hidden="false" customHeight="false" outlineLevel="0" collapsed="false">
      <c r="R527" s="0"/>
      <c r="S527" s="0"/>
    </row>
    <row r="528" s="1" customFormat="true" ht="14.25" hidden="false" customHeight="false" outlineLevel="0" collapsed="false">
      <c r="R528" s="0"/>
      <c r="S528" s="0"/>
    </row>
    <row r="529" s="1" customFormat="true" ht="14.25" hidden="false" customHeight="false" outlineLevel="0" collapsed="false">
      <c r="R529" s="0"/>
      <c r="S529" s="0"/>
    </row>
    <row r="530" s="1" customFormat="true" ht="14.25" hidden="false" customHeight="false" outlineLevel="0" collapsed="false">
      <c r="R530" s="0"/>
      <c r="S530" s="0"/>
    </row>
    <row r="531" s="1" customFormat="true" ht="14.25" hidden="false" customHeight="false" outlineLevel="0" collapsed="false">
      <c r="R531" s="0"/>
      <c r="S531" s="0"/>
    </row>
    <row r="532" s="1" customFormat="true" ht="14.25" hidden="false" customHeight="false" outlineLevel="0" collapsed="false">
      <c r="R532" s="0"/>
      <c r="S532" s="0"/>
    </row>
    <row r="533" s="1" customFormat="true" ht="14.25" hidden="false" customHeight="false" outlineLevel="0" collapsed="false">
      <c r="R533" s="0"/>
      <c r="S533" s="0"/>
    </row>
    <row r="534" s="1" customFormat="true" ht="14.25" hidden="false" customHeight="false" outlineLevel="0" collapsed="false">
      <c r="R534" s="0"/>
      <c r="S534" s="0"/>
    </row>
    <row r="535" s="1" customFormat="true" ht="14.25" hidden="false" customHeight="false" outlineLevel="0" collapsed="false">
      <c r="R535" s="0"/>
      <c r="S535" s="0"/>
    </row>
    <row r="536" s="1" customFormat="true" ht="14.25" hidden="false" customHeight="false" outlineLevel="0" collapsed="false">
      <c r="R536" s="0"/>
      <c r="S536" s="0"/>
    </row>
    <row r="537" s="1" customFormat="true" ht="14.25" hidden="false" customHeight="false" outlineLevel="0" collapsed="false">
      <c r="R537" s="0"/>
      <c r="S537" s="0"/>
    </row>
    <row r="538" s="1" customFormat="true" ht="14.25" hidden="false" customHeight="false" outlineLevel="0" collapsed="false">
      <c r="R538" s="0"/>
      <c r="S538" s="0"/>
    </row>
    <row r="539" s="1" customFormat="true" ht="14.25" hidden="false" customHeight="false" outlineLevel="0" collapsed="false">
      <c r="R539" s="0"/>
      <c r="S539" s="0"/>
    </row>
    <row r="540" s="1" customFormat="true" ht="14.25" hidden="false" customHeight="false" outlineLevel="0" collapsed="false">
      <c r="R540" s="0"/>
      <c r="S540" s="0"/>
    </row>
    <row r="541" s="1" customFormat="true" ht="14.25" hidden="false" customHeight="false" outlineLevel="0" collapsed="false">
      <c r="R541" s="0"/>
      <c r="S541" s="0"/>
    </row>
    <row r="542" s="1" customFormat="true" ht="14.25" hidden="false" customHeight="false" outlineLevel="0" collapsed="false">
      <c r="R542" s="0"/>
      <c r="S542" s="0"/>
    </row>
    <row r="543" s="1" customFormat="true" ht="14.25" hidden="false" customHeight="false" outlineLevel="0" collapsed="false">
      <c r="R543" s="0"/>
      <c r="S543" s="0"/>
    </row>
    <row r="544" s="1" customFormat="true" ht="14.25" hidden="false" customHeight="false" outlineLevel="0" collapsed="false">
      <c r="R544" s="0"/>
      <c r="S544" s="0"/>
    </row>
    <row r="545" s="1" customFormat="true" ht="14.25" hidden="false" customHeight="false" outlineLevel="0" collapsed="false">
      <c r="R545" s="0"/>
      <c r="S545" s="0"/>
    </row>
    <row r="546" s="1" customFormat="true" ht="14.25" hidden="false" customHeight="false" outlineLevel="0" collapsed="false">
      <c r="R546" s="0"/>
      <c r="S546" s="0"/>
    </row>
    <row r="547" s="1" customFormat="true" ht="14.25" hidden="false" customHeight="false" outlineLevel="0" collapsed="false">
      <c r="R547" s="0"/>
      <c r="S547" s="0"/>
    </row>
    <row r="548" s="1" customFormat="true" ht="14.25" hidden="false" customHeight="false" outlineLevel="0" collapsed="false">
      <c r="R548" s="0"/>
      <c r="S548" s="0"/>
    </row>
    <row r="549" s="1" customFormat="true" ht="14.25" hidden="false" customHeight="false" outlineLevel="0" collapsed="false">
      <c r="R549" s="0"/>
      <c r="S549" s="0"/>
    </row>
    <row r="550" s="1" customFormat="true" ht="14.25" hidden="false" customHeight="false" outlineLevel="0" collapsed="false">
      <c r="R550" s="0"/>
      <c r="S550" s="0"/>
    </row>
    <row r="551" s="1" customFormat="true" ht="14.25" hidden="false" customHeight="false" outlineLevel="0" collapsed="false">
      <c r="R551" s="0"/>
      <c r="S551" s="0"/>
    </row>
    <row r="552" s="1" customFormat="true" ht="14.25" hidden="false" customHeight="false" outlineLevel="0" collapsed="false">
      <c r="R552" s="0"/>
      <c r="S552" s="0"/>
    </row>
    <row r="553" s="1" customFormat="true" ht="14.25" hidden="false" customHeight="false" outlineLevel="0" collapsed="false">
      <c r="R553" s="0"/>
      <c r="S553" s="0"/>
    </row>
    <row r="554" s="1" customFormat="true" ht="14.25" hidden="false" customHeight="false" outlineLevel="0" collapsed="false">
      <c r="R554" s="0"/>
      <c r="S554" s="0"/>
    </row>
    <row r="555" s="1" customFormat="true" ht="14.25" hidden="false" customHeight="false" outlineLevel="0" collapsed="false">
      <c r="R555" s="0"/>
      <c r="S555" s="0"/>
    </row>
    <row r="556" s="1" customFormat="true" ht="14.25" hidden="false" customHeight="false" outlineLevel="0" collapsed="false">
      <c r="R556" s="0"/>
      <c r="S556" s="0"/>
    </row>
    <row r="557" s="1" customFormat="true" ht="14.25" hidden="false" customHeight="false" outlineLevel="0" collapsed="false">
      <c r="R557" s="0"/>
      <c r="S557" s="0"/>
    </row>
    <row r="558" s="1" customFormat="true" ht="14.25" hidden="false" customHeight="false" outlineLevel="0" collapsed="false">
      <c r="R558" s="0"/>
      <c r="S558" s="0"/>
    </row>
    <row r="559" s="1" customFormat="true" ht="14.25" hidden="false" customHeight="false" outlineLevel="0" collapsed="false">
      <c r="R559" s="0"/>
      <c r="S559" s="0"/>
    </row>
    <row r="560" s="1" customFormat="true" ht="14.25" hidden="false" customHeight="false" outlineLevel="0" collapsed="false">
      <c r="R560" s="0"/>
      <c r="S560" s="0"/>
    </row>
    <row r="561" s="1" customFormat="true" ht="14.25" hidden="false" customHeight="false" outlineLevel="0" collapsed="false">
      <c r="R561" s="0"/>
      <c r="S561" s="0"/>
    </row>
    <row r="562" s="1" customFormat="true" ht="14.25" hidden="false" customHeight="false" outlineLevel="0" collapsed="false">
      <c r="R562" s="0"/>
      <c r="S562" s="0"/>
    </row>
    <row r="563" s="1" customFormat="true" ht="14.25" hidden="false" customHeight="false" outlineLevel="0" collapsed="false">
      <c r="R563" s="0"/>
      <c r="S563" s="0"/>
    </row>
    <row r="564" s="1" customFormat="true" ht="14.25" hidden="false" customHeight="false" outlineLevel="0" collapsed="false">
      <c r="R564" s="0"/>
      <c r="S564" s="0"/>
    </row>
    <row r="565" s="1" customFormat="true" ht="14.25" hidden="false" customHeight="false" outlineLevel="0" collapsed="false">
      <c r="R565" s="0"/>
      <c r="S565" s="0"/>
    </row>
    <row r="566" s="1" customFormat="true" ht="14.25" hidden="false" customHeight="false" outlineLevel="0" collapsed="false">
      <c r="R566" s="0"/>
      <c r="S566" s="0"/>
    </row>
    <row r="567" s="1" customFormat="true" ht="14.25" hidden="false" customHeight="false" outlineLevel="0" collapsed="false">
      <c r="R567" s="0"/>
      <c r="S567" s="0"/>
    </row>
    <row r="568" s="1" customFormat="true" ht="14.25" hidden="false" customHeight="false" outlineLevel="0" collapsed="false">
      <c r="R568" s="0"/>
      <c r="S568" s="0"/>
    </row>
    <row r="569" s="1" customFormat="true" ht="14.25" hidden="false" customHeight="false" outlineLevel="0" collapsed="false">
      <c r="R569" s="0"/>
      <c r="S569" s="0"/>
    </row>
    <row r="570" s="1" customFormat="true" ht="14.25" hidden="false" customHeight="false" outlineLevel="0" collapsed="false">
      <c r="R570" s="0"/>
      <c r="S570" s="0"/>
    </row>
    <row r="571" s="1" customFormat="true" ht="14.25" hidden="false" customHeight="false" outlineLevel="0" collapsed="false">
      <c r="R571" s="0"/>
      <c r="S571" s="0"/>
    </row>
    <row r="572" s="1" customFormat="true" ht="14.25" hidden="false" customHeight="false" outlineLevel="0" collapsed="false">
      <c r="R572" s="0"/>
      <c r="S572" s="0"/>
    </row>
    <row r="573" s="1" customFormat="true" ht="14.25" hidden="false" customHeight="false" outlineLevel="0" collapsed="false">
      <c r="R573" s="0"/>
      <c r="S573" s="0"/>
    </row>
    <row r="574" s="1" customFormat="true" ht="14.25" hidden="false" customHeight="false" outlineLevel="0" collapsed="false">
      <c r="R574" s="0"/>
      <c r="S574" s="0"/>
    </row>
    <row r="575" s="1" customFormat="true" ht="14.25" hidden="false" customHeight="false" outlineLevel="0" collapsed="false">
      <c r="R575" s="0"/>
      <c r="S575" s="0"/>
    </row>
    <row r="576" s="1" customFormat="true" ht="14.25" hidden="false" customHeight="false" outlineLevel="0" collapsed="false">
      <c r="R576" s="0"/>
      <c r="S576" s="0"/>
    </row>
    <row r="577" s="1" customFormat="true" ht="14.25" hidden="false" customHeight="false" outlineLevel="0" collapsed="false">
      <c r="R577" s="0"/>
      <c r="S577" s="0"/>
    </row>
    <row r="578" s="1" customFormat="true" ht="14.25" hidden="false" customHeight="false" outlineLevel="0" collapsed="false">
      <c r="R578" s="0"/>
      <c r="S578" s="0"/>
    </row>
    <row r="579" s="1" customFormat="true" ht="14.25" hidden="false" customHeight="false" outlineLevel="0" collapsed="false">
      <c r="R579" s="0"/>
      <c r="S579" s="0"/>
    </row>
    <row r="580" s="1" customFormat="true" ht="14.25" hidden="false" customHeight="false" outlineLevel="0" collapsed="false">
      <c r="R580" s="0"/>
      <c r="S580" s="0"/>
    </row>
    <row r="581" s="1" customFormat="true" ht="14.25" hidden="false" customHeight="false" outlineLevel="0" collapsed="false">
      <c r="R581" s="0"/>
      <c r="S581" s="0"/>
    </row>
    <row r="582" s="1" customFormat="true" ht="14.25" hidden="false" customHeight="false" outlineLevel="0" collapsed="false">
      <c r="R582" s="0"/>
      <c r="S582" s="0"/>
    </row>
    <row r="583" s="1" customFormat="true" ht="14.25" hidden="false" customHeight="false" outlineLevel="0" collapsed="false">
      <c r="R583" s="0"/>
      <c r="S583" s="0"/>
    </row>
    <row r="584" s="1" customFormat="true" ht="14.25" hidden="false" customHeight="false" outlineLevel="0" collapsed="false">
      <c r="R584" s="0"/>
      <c r="S584" s="0"/>
    </row>
    <row r="585" s="1" customFormat="true" ht="14.25" hidden="false" customHeight="false" outlineLevel="0" collapsed="false">
      <c r="R585" s="0"/>
      <c r="S585" s="0"/>
    </row>
    <row r="586" s="1" customFormat="true" ht="14.25" hidden="false" customHeight="false" outlineLevel="0" collapsed="false">
      <c r="R586" s="0"/>
      <c r="S586" s="0"/>
    </row>
    <row r="587" s="1" customFormat="true" ht="14.25" hidden="false" customHeight="false" outlineLevel="0" collapsed="false">
      <c r="R587" s="0"/>
      <c r="S587" s="0"/>
    </row>
    <row r="588" s="1" customFormat="true" ht="14.25" hidden="false" customHeight="false" outlineLevel="0" collapsed="false">
      <c r="R588" s="0"/>
      <c r="S588" s="0"/>
    </row>
    <row r="589" s="1" customFormat="true" ht="14.25" hidden="false" customHeight="false" outlineLevel="0" collapsed="false">
      <c r="R589" s="0"/>
      <c r="S589" s="0"/>
    </row>
    <row r="590" s="1" customFormat="true" ht="14.25" hidden="false" customHeight="false" outlineLevel="0" collapsed="false">
      <c r="R590" s="0"/>
      <c r="S590" s="0"/>
    </row>
    <row r="591" s="1" customFormat="true" ht="14.25" hidden="false" customHeight="false" outlineLevel="0" collapsed="false">
      <c r="R591" s="0"/>
      <c r="S591" s="0"/>
    </row>
    <row r="592" s="1" customFormat="true" ht="14.25" hidden="false" customHeight="false" outlineLevel="0" collapsed="false">
      <c r="R592" s="0"/>
      <c r="S592" s="0"/>
    </row>
    <row r="593" s="1" customFormat="true" ht="14.25" hidden="false" customHeight="false" outlineLevel="0" collapsed="false">
      <c r="R593" s="0"/>
      <c r="S593" s="0"/>
    </row>
    <row r="594" s="1" customFormat="true" ht="14.25" hidden="false" customHeight="false" outlineLevel="0" collapsed="false">
      <c r="R594" s="0"/>
      <c r="S594" s="0"/>
    </row>
    <row r="595" s="1" customFormat="true" ht="14.25" hidden="false" customHeight="false" outlineLevel="0" collapsed="false">
      <c r="R595" s="0"/>
      <c r="S595" s="0"/>
    </row>
    <row r="596" s="1" customFormat="true" ht="14.25" hidden="false" customHeight="false" outlineLevel="0" collapsed="false">
      <c r="R596" s="0"/>
      <c r="S596" s="0"/>
    </row>
    <row r="597" s="1" customFormat="true" ht="14.25" hidden="false" customHeight="false" outlineLevel="0" collapsed="false">
      <c r="R597" s="0"/>
      <c r="S597" s="0"/>
    </row>
    <row r="598" s="1" customFormat="true" ht="14.25" hidden="false" customHeight="false" outlineLevel="0" collapsed="false">
      <c r="R598" s="0"/>
      <c r="S598" s="0"/>
    </row>
    <row r="599" s="1" customFormat="true" ht="14.25" hidden="false" customHeight="false" outlineLevel="0" collapsed="false">
      <c r="R599" s="0"/>
      <c r="S599" s="0"/>
    </row>
    <row r="600" s="1" customFormat="true" ht="14.25" hidden="false" customHeight="false" outlineLevel="0" collapsed="false">
      <c r="R600" s="0"/>
      <c r="S600" s="0"/>
    </row>
    <row r="601" s="1" customFormat="true" ht="14.25" hidden="false" customHeight="false" outlineLevel="0" collapsed="false">
      <c r="R601" s="0"/>
      <c r="S601" s="0"/>
    </row>
    <row r="602" s="1" customFormat="true" ht="14.25" hidden="false" customHeight="false" outlineLevel="0" collapsed="false">
      <c r="R602" s="0"/>
      <c r="S602" s="0"/>
    </row>
    <row r="603" s="1" customFormat="true" ht="14.25" hidden="false" customHeight="false" outlineLevel="0" collapsed="false">
      <c r="R603" s="0"/>
      <c r="S603" s="0"/>
    </row>
    <row r="604" s="1" customFormat="true" ht="14.25" hidden="false" customHeight="false" outlineLevel="0" collapsed="false">
      <c r="R604" s="0"/>
      <c r="S604" s="0"/>
    </row>
    <row r="605" s="1" customFormat="true" ht="14.25" hidden="false" customHeight="false" outlineLevel="0" collapsed="false">
      <c r="R605" s="0"/>
      <c r="S605" s="0"/>
    </row>
    <row r="606" s="1" customFormat="true" ht="14.25" hidden="false" customHeight="false" outlineLevel="0" collapsed="false">
      <c r="R606" s="0"/>
      <c r="S606" s="0"/>
    </row>
    <row r="607" s="1" customFormat="true" ht="14.25" hidden="false" customHeight="false" outlineLevel="0" collapsed="false">
      <c r="R607" s="0"/>
      <c r="S607" s="0"/>
    </row>
    <row r="608" s="1" customFormat="true" ht="14.25" hidden="false" customHeight="false" outlineLevel="0" collapsed="false">
      <c r="R608" s="0"/>
      <c r="S608" s="0"/>
    </row>
    <row r="609" s="1" customFormat="true" ht="14.25" hidden="false" customHeight="false" outlineLevel="0" collapsed="false">
      <c r="R609" s="0"/>
      <c r="S609" s="0"/>
    </row>
    <row r="610" s="1" customFormat="true" ht="14.25" hidden="false" customHeight="false" outlineLevel="0" collapsed="false">
      <c r="R610" s="0"/>
      <c r="S610" s="0"/>
    </row>
    <row r="611" s="1" customFormat="true" ht="14.25" hidden="false" customHeight="false" outlineLevel="0" collapsed="false">
      <c r="R611" s="0"/>
      <c r="S611" s="0"/>
    </row>
    <row r="612" s="1" customFormat="true" ht="14.25" hidden="false" customHeight="false" outlineLevel="0" collapsed="false">
      <c r="R612" s="0"/>
      <c r="S612" s="0"/>
    </row>
    <row r="613" s="1" customFormat="true" ht="14.25" hidden="false" customHeight="false" outlineLevel="0" collapsed="false">
      <c r="R613" s="0"/>
      <c r="S613" s="0"/>
    </row>
    <row r="614" s="1" customFormat="true" ht="14.25" hidden="false" customHeight="false" outlineLevel="0" collapsed="false">
      <c r="R614" s="0"/>
      <c r="S614" s="0"/>
    </row>
    <row r="615" s="1" customFormat="true" ht="14.25" hidden="false" customHeight="false" outlineLevel="0" collapsed="false">
      <c r="R615" s="0"/>
      <c r="S615" s="0"/>
    </row>
    <row r="616" s="1" customFormat="true" ht="14.25" hidden="false" customHeight="false" outlineLevel="0" collapsed="false">
      <c r="R616" s="0"/>
      <c r="S616" s="0"/>
    </row>
    <row r="617" s="1" customFormat="true" ht="14.25" hidden="false" customHeight="false" outlineLevel="0" collapsed="false">
      <c r="R617" s="0"/>
      <c r="S617" s="0"/>
    </row>
    <row r="618" s="1" customFormat="true" ht="14.25" hidden="false" customHeight="false" outlineLevel="0" collapsed="false">
      <c r="R618" s="0"/>
      <c r="S618" s="0"/>
    </row>
    <row r="619" s="1" customFormat="true" ht="14.25" hidden="false" customHeight="false" outlineLevel="0" collapsed="false">
      <c r="R619" s="0"/>
      <c r="S619" s="0"/>
    </row>
    <row r="620" s="1" customFormat="true" ht="14.25" hidden="false" customHeight="false" outlineLevel="0" collapsed="false">
      <c r="R620" s="0"/>
      <c r="S620" s="0"/>
    </row>
    <row r="621" s="1" customFormat="true" ht="14.25" hidden="false" customHeight="false" outlineLevel="0" collapsed="false">
      <c r="R621" s="0"/>
      <c r="S621" s="0"/>
    </row>
    <row r="622" s="1" customFormat="true" ht="14.25" hidden="false" customHeight="false" outlineLevel="0" collapsed="false">
      <c r="R622" s="0"/>
      <c r="S622" s="0"/>
    </row>
    <row r="623" s="1" customFormat="true" ht="14.25" hidden="false" customHeight="false" outlineLevel="0" collapsed="false">
      <c r="R623" s="0"/>
      <c r="S623" s="0"/>
    </row>
    <row r="624" s="1" customFormat="true" ht="14.25" hidden="false" customHeight="false" outlineLevel="0" collapsed="false">
      <c r="R624" s="0"/>
      <c r="S624" s="0"/>
    </row>
    <row r="625" s="1" customFormat="true" ht="14.25" hidden="false" customHeight="false" outlineLevel="0" collapsed="false">
      <c r="R625" s="0"/>
      <c r="S625" s="0"/>
    </row>
    <row r="626" s="1" customFormat="true" ht="14.25" hidden="false" customHeight="false" outlineLevel="0" collapsed="false">
      <c r="R626" s="0"/>
      <c r="S626" s="0"/>
    </row>
    <row r="627" s="1" customFormat="true" ht="14.25" hidden="false" customHeight="false" outlineLevel="0" collapsed="false">
      <c r="R627" s="0"/>
      <c r="S627" s="0"/>
    </row>
    <row r="628" s="1" customFormat="true" ht="14.25" hidden="false" customHeight="false" outlineLevel="0" collapsed="false">
      <c r="R628" s="0"/>
      <c r="S628" s="0"/>
    </row>
    <row r="629" s="1" customFormat="true" ht="14.25" hidden="false" customHeight="false" outlineLevel="0" collapsed="false">
      <c r="R629" s="0"/>
      <c r="S629" s="0"/>
    </row>
    <row r="630" s="1" customFormat="true" ht="14.25" hidden="false" customHeight="false" outlineLevel="0" collapsed="false">
      <c r="R630" s="0"/>
      <c r="S630" s="0"/>
    </row>
    <row r="631" s="1" customFormat="true" ht="14.25" hidden="false" customHeight="false" outlineLevel="0" collapsed="false">
      <c r="R631" s="0"/>
      <c r="S631" s="0"/>
    </row>
    <row r="632" s="1" customFormat="true" ht="14.25" hidden="false" customHeight="false" outlineLevel="0" collapsed="false">
      <c r="R632" s="0"/>
      <c r="S632" s="0"/>
    </row>
    <row r="633" s="1" customFormat="true" ht="14.25" hidden="false" customHeight="false" outlineLevel="0" collapsed="false">
      <c r="R633" s="0"/>
      <c r="S633" s="0"/>
    </row>
    <row r="634" s="1" customFormat="true" ht="14.25" hidden="false" customHeight="false" outlineLevel="0" collapsed="false">
      <c r="R634" s="0"/>
      <c r="S634" s="0"/>
    </row>
    <row r="635" s="1" customFormat="true" ht="14.25" hidden="false" customHeight="false" outlineLevel="0" collapsed="false">
      <c r="R635" s="0"/>
      <c r="S635" s="0"/>
    </row>
    <row r="636" s="1" customFormat="true" ht="14.25" hidden="false" customHeight="false" outlineLevel="0" collapsed="false">
      <c r="R636" s="0"/>
      <c r="S636" s="0"/>
    </row>
    <row r="637" s="1" customFormat="true" ht="14.25" hidden="false" customHeight="false" outlineLevel="0" collapsed="false">
      <c r="R637" s="0"/>
      <c r="S637" s="0"/>
    </row>
    <row r="638" s="1" customFormat="true" ht="14.25" hidden="false" customHeight="false" outlineLevel="0" collapsed="false">
      <c r="R638" s="0"/>
      <c r="S638" s="0"/>
    </row>
    <row r="639" s="1" customFormat="true" ht="14.25" hidden="false" customHeight="false" outlineLevel="0" collapsed="false">
      <c r="R639" s="0"/>
      <c r="S639" s="0"/>
    </row>
    <row r="640" s="1" customFormat="true" ht="14.25" hidden="false" customHeight="false" outlineLevel="0" collapsed="false">
      <c r="R640" s="0"/>
      <c r="S640" s="0"/>
    </row>
    <row r="641" s="1" customFormat="true" ht="14.25" hidden="false" customHeight="false" outlineLevel="0" collapsed="false">
      <c r="R641" s="0"/>
      <c r="S641" s="0"/>
    </row>
    <row r="642" s="1" customFormat="true" ht="14.25" hidden="false" customHeight="false" outlineLevel="0" collapsed="false">
      <c r="R642" s="0"/>
      <c r="S642" s="0"/>
    </row>
    <row r="643" s="1" customFormat="true" ht="14.25" hidden="false" customHeight="false" outlineLevel="0" collapsed="false">
      <c r="R643" s="0"/>
      <c r="S643" s="0"/>
    </row>
    <row r="644" s="1" customFormat="true" ht="14.25" hidden="false" customHeight="false" outlineLevel="0" collapsed="false">
      <c r="R644" s="0"/>
      <c r="S644" s="0"/>
    </row>
    <row r="645" s="1" customFormat="true" ht="14.25" hidden="false" customHeight="false" outlineLevel="0" collapsed="false">
      <c r="R645" s="0"/>
      <c r="S645" s="0"/>
    </row>
    <row r="646" s="1" customFormat="true" ht="14.25" hidden="false" customHeight="false" outlineLevel="0" collapsed="false">
      <c r="R646" s="0"/>
      <c r="S646" s="0"/>
    </row>
    <row r="647" s="1" customFormat="true" ht="14.25" hidden="false" customHeight="false" outlineLevel="0" collapsed="false">
      <c r="R647" s="0"/>
      <c r="S647" s="0"/>
    </row>
    <row r="648" s="1" customFormat="true" ht="14.25" hidden="false" customHeight="false" outlineLevel="0" collapsed="false">
      <c r="R648" s="0"/>
      <c r="S648" s="0"/>
    </row>
    <row r="649" s="1" customFormat="true" ht="14.25" hidden="false" customHeight="false" outlineLevel="0" collapsed="false">
      <c r="R649" s="0"/>
      <c r="S649" s="0"/>
    </row>
    <row r="650" s="1" customFormat="true" ht="14.25" hidden="false" customHeight="false" outlineLevel="0" collapsed="false">
      <c r="R650" s="0"/>
      <c r="S650" s="0"/>
    </row>
    <row r="651" s="1" customFormat="true" ht="14.25" hidden="false" customHeight="false" outlineLevel="0" collapsed="false">
      <c r="R651" s="0"/>
      <c r="S651" s="0"/>
    </row>
    <row r="652" s="1" customFormat="true" ht="14.25" hidden="false" customHeight="false" outlineLevel="0" collapsed="false">
      <c r="R652" s="0"/>
      <c r="S652" s="0"/>
    </row>
    <row r="653" s="1" customFormat="true" ht="14.25" hidden="false" customHeight="false" outlineLevel="0" collapsed="false">
      <c r="R653" s="0"/>
      <c r="S653" s="0"/>
    </row>
    <row r="654" s="1" customFormat="true" ht="14.25" hidden="false" customHeight="false" outlineLevel="0" collapsed="false">
      <c r="R654" s="0"/>
      <c r="S654" s="0"/>
    </row>
    <row r="655" s="1" customFormat="true" ht="14.25" hidden="false" customHeight="false" outlineLevel="0" collapsed="false">
      <c r="R655" s="0"/>
      <c r="S655" s="0"/>
    </row>
    <row r="656" s="1" customFormat="true" ht="14.25" hidden="false" customHeight="false" outlineLevel="0" collapsed="false">
      <c r="R656" s="0"/>
      <c r="S656" s="0"/>
    </row>
    <row r="657" s="1" customFormat="true" ht="14.25" hidden="false" customHeight="false" outlineLevel="0" collapsed="false">
      <c r="R657" s="0"/>
      <c r="S657" s="0"/>
    </row>
    <row r="658" s="1" customFormat="true" ht="14.25" hidden="false" customHeight="false" outlineLevel="0" collapsed="false">
      <c r="R658" s="0"/>
      <c r="S658" s="0"/>
    </row>
    <row r="659" s="1" customFormat="true" ht="14.25" hidden="false" customHeight="false" outlineLevel="0" collapsed="false">
      <c r="R659" s="0"/>
      <c r="S659" s="0"/>
    </row>
    <row r="660" s="1" customFormat="true" ht="14.25" hidden="false" customHeight="false" outlineLevel="0" collapsed="false">
      <c r="R660" s="0"/>
      <c r="S660" s="0"/>
    </row>
    <row r="661" s="1" customFormat="true" ht="14.25" hidden="false" customHeight="false" outlineLevel="0" collapsed="false">
      <c r="R661" s="0"/>
      <c r="S661" s="0"/>
    </row>
    <row r="662" s="1" customFormat="true" ht="14.25" hidden="false" customHeight="false" outlineLevel="0" collapsed="false">
      <c r="R662" s="0"/>
      <c r="S662" s="0"/>
    </row>
    <row r="663" s="1" customFormat="true" ht="14.25" hidden="false" customHeight="false" outlineLevel="0" collapsed="false">
      <c r="R663" s="0"/>
      <c r="S663" s="0"/>
    </row>
    <row r="664" s="1" customFormat="true" ht="14.25" hidden="false" customHeight="false" outlineLevel="0" collapsed="false">
      <c r="R664" s="0"/>
      <c r="S664" s="0"/>
    </row>
    <row r="665" s="1" customFormat="true" ht="14.25" hidden="false" customHeight="false" outlineLevel="0" collapsed="false">
      <c r="R665" s="0"/>
      <c r="S665" s="0"/>
    </row>
    <row r="666" s="1" customFormat="true" ht="14.25" hidden="false" customHeight="false" outlineLevel="0" collapsed="false">
      <c r="R666" s="0"/>
      <c r="S666" s="0"/>
    </row>
    <row r="667" s="1" customFormat="true" ht="14.25" hidden="false" customHeight="false" outlineLevel="0" collapsed="false">
      <c r="R667" s="0"/>
      <c r="S667" s="0"/>
    </row>
    <row r="668" s="1" customFormat="true" ht="14.25" hidden="false" customHeight="false" outlineLevel="0" collapsed="false">
      <c r="R668" s="0"/>
      <c r="S668" s="0"/>
    </row>
    <row r="669" s="1" customFormat="true" ht="14.25" hidden="false" customHeight="false" outlineLevel="0" collapsed="false">
      <c r="R669" s="0"/>
      <c r="S669" s="0"/>
    </row>
    <row r="670" s="1" customFormat="true" ht="14.25" hidden="false" customHeight="false" outlineLevel="0" collapsed="false">
      <c r="R670" s="0"/>
      <c r="S670" s="0"/>
    </row>
    <row r="671" s="1" customFormat="true" ht="14.25" hidden="false" customHeight="false" outlineLevel="0" collapsed="false">
      <c r="R671" s="0"/>
      <c r="S671" s="0"/>
    </row>
    <row r="672" s="1" customFormat="true" ht="14.25" hidden="false" customHeight="false" outlineLevel="0" collapsed="false">
      <c r="R672" s="0"/>
      <c r="S672" s="0"/>
    </row>
    <row r="673" s="1" customFormat="true" ht="14.25" hidden="false" customHeight="false" outlineLevel="0" collapsed="false">
      <c r="R673" s="0"/>
      <c r="S673" s="0"/>
    </row>
    <row r="674" s="1" customFormat="true" ht="14.25" hidden="false" customHeight="false" outlineLevel="0" collapsed="false">
      <c r="R674" s="0"/>
      <c r="S674" s="0"/>
    </row>
    <row r="675" s="1" customFormat="true" ht="14.25" hidden="false" customHeight="false" outlineLevel="0" collapsed="false">
      <c r="R675" s="0"/>
      <c r="S675" s="0"/>
    </row>
    <row r="676" s="1" customFormat="true" ht="14.25" hidden="false" customHeight="false" outlineLevel="0" collapsed="false">
      <c r="R676" s="0"/>
      <c r="S676" s="0"/>
    </row>
    <row r="677" s="1" customFormat="true" ht="14.25" hidden="false" customHeight="false" outlineLevel="0" collapsed="false">
      <c r="R677" s="0"/>
      <c r="S677" s="0"/>
    </row>
    <row r="678" s="1" customFormat="true" ht="14.25" hidden="false" customHeight="false" outlineLevel="0" collapsed="false">
      <c r="R678" s="0"/>
      <c r="S678" s="0"/>
    </row>
    <row r="679" s="1" customFormat="true" ht="14.25" hidden="false" customHeight="false" outlineLevel="0" collapsed="false">
      <c r="R679" s="0"/>
      <c r="S679" s="0"/>
    </row>
    <row r="680" s="1" customFormat="true" ht="14.25" hidden="false" customHeight="false" outlineLevel="0" collapsed="false">
      <c r="R680" s="0"/>
      <c r="S680" s="0"/>
    </row>
    <row r="681" s="1" customFormat="true" ht="14.25" hidden="false" customHeight="false" outlineLevel="0" collapsed="false">
      <c r="R681" s="0"/>
      <c r="S681" s="0"/>
    </row>
    <row r="682" s="1" customFormat="true" ht="14.25" hidden="false" customHeight="false" outlineLevel="0" collapsed="false">
      <c r="R682" s="0"/>
      <c r="S682" s="0"/>
    </row>
    <row r="683" s="1" customFormat="true" ht="14.25" hidden="false" customHeight="false" outlineLevel="0" collapsed="false">
      <c r="R683" s="0"/>
      <c r="S683" s="0"/>
    </row>
    <row r="684" s="1" customFormat="true" ht="14.25" hidden="false" customHeight="false" outlineLevel="0" collapsed="false">
      <c r="R684" s="0"/>
      <c r="S684" s="0"/>
    </row>
    <row r="685" s="1" customFormat="true" ht="14.25" hidden="false" customHeight="false" outlineLevel="0" collapsed="false">
      <c r="R685" s="0"/>
      <c r="S685" s="0"/>
    </row>
    <row r="686" s="1" customFormat="true" ht="14.25" hidden="false" customHeight="false" outlineLevel="0" collapsed="false">
      <c r="R686" s="0"/>
      <c r="S686" s="0"/>
    </row>
    <row r="687" s="1" customFormat="true" ht="14.25" hidden="false" customHeight="false" outlineLevel="0" collapsed="false">
      <c r="R687" s="0"/>
      <c r="S687" s="0"/>
    </row>
    <row r="688" s="1" customFormat="true" ht="14.25" hidden="false" customHeight="false" outlineLevel="0" collapsed="false">
      <c r="R688" s="0"/>
      <c r="S688" s="0"/>
    </row>
    <row r="689" s="1" customFormat="true" ht="14.25" hidden="false" customHeight="false" outlineLevel="0" collapsed="false">
      <c r="R689" s="0"/>
      <c r="S689" s="0"/>
    </row>
    <row r="690" s="1" customFormat="true" ht="14.25" hidden="false" customHeight="false" outlineLevel="0" collapsed="false">
      <c r="R690" s="0"/>
      <c r="S690" s="0"/>
    </row>
    <row r="691" s="1" customFormat="true" ht="14.25" hidden="false" customHeight="false" outlineLevel="0" collapsed="false">
      <c r="R691" s="0"/>
      <c r="S691" s="0"/>
    </row>
    <row r="692" s="1" customFormat="true" ht="14.25" hidden="false" customHeight="false" outlineLevel="0" collapsed="false">
      <c r="R692" s="0"/>
      <c r="S692" s="0"/>
    </row>
    <row r="693" s="1" customFormat="true" ht="14.25" hidden="false" customHeight="false" outlineLevel="0" collapsed="false">
      <c r="R693" s="0"/>
      <c r="S693" s="0"/>
    </row>
    <row r="694" s="1" customFormat="true" ht="14.25" hidden="false" customHeight="false" outlineLevel="0" collapsed="false">
      <c r="R694" s="0"/>
      <c r="S694" s="0"/>
    </row>
    <row r="695" s="1" customFormat="true" ht="14.25" hidden="false" customHeight="false" outlineLevel="0" collapsed="false">
      <c r="R695" s="0"/>
      <c r="S695" s="0"/>
    </row>
    <row r="696" s="1" customFormat="true" ht="14.25" hidden="false" customHeight="false" outlineLevel="0" collapsed="false">
      <c r="R696" s="0"/>
      <c r="S696" s="0"/>
    </row>
    <row r="697" s="1" customFormat="true" ht="14.25" hidden="false" customHeight="false" outlineLevel="0" collapsed="false">
      <c r="R697" s="0"/>
      <c r="S697" s="0"/>
    </row>
    <row r="698" s="1" customFormat="true" ht="14.25" hidden="false" customHeight="false" outlineLevel="0" collapsed="false">
      <c r="R698" s="0"/>
      <c r="S698" s="0"/>
    </row>
    <row r="699" s="1" customFormat="true" ht="14.25" hidden="false" customHeight="false" outlineLevel="0" collapsed="false">
      <c r="R699" s="0"/>
      <c r="S699" s="0"/>
    </row>
    <row r="700" s="1" customFormat="true" ht="14.25" hidden="false" customHeight="false" outlineLevel="0" collapsed="false">
      <c r="R700" s="0"/>
      <c r="S700" s="0"/>
    </row>
    <row r="701" s="1" customFormat="true" ht="14.25" hidden="false" customHeight="false" outlineLevel="0" collapsed="false">
      <c r="R701" s="0"/>
      <c r="S701" s="0"/>
    </row>
    <row r="702" s="1" customFormat="true" ht="14.25" hidden="false" customHeight="false" outlineLevel="0" collapsed="false">
      <c r="R702" s="0"/>
      <c r="S702" s="0"/>
    </row>
    <row r="703" s="1" customFormat="true" ht="14.25" hidden="false" customHeight="false" outlineLevel="0" collapsed="false">
      <c r="R703" s="0"/>
      <c r="S703" s="0"/>
    </row>
    <row r="704" s="1" customFormat="true" ht="14.25" hidden="false" customHeight="false" outlineLevel="0" collapsed="false">
      <c r="R704" s="0"/>
      <c r="S704" s="0"/>
    </row>
    <row r="705" s="1" customFormat="true" ht="14.25" hidden="false" customHeight="false" outlineLevel="0" collapsed="false">
      <c r="R705" s="0"/>
      <c r="S705" s="0"/>
    </row>
    <row r="706" s="1" customFormat="true" ht="14.25" hidden="false" customHeight="false" outlineLevel="0" collapsed="false">
      <c r="R706" s="0"/>
      <c r="S706" s="0"/>
    </row>
    <row r="707" s="1" customFormat="true" ht="14.25" hidden="false" customHeight="false" outlineLevel="0" collapsed="false">
      <c r="R707" s="0"/>
      <c r="S707" s="0"/>
    </row>
    <row r="708" s="1" customFormat="true" ht="14.25" hidden="false" customHeight="false" outlineLevel="0" collapsed="false">
      <c r="R708" s="0"/>
      <c r="S708" s="0"/>
    </row>
    <row r="709" s="1" customFormat="true" ht="14.25" hidden="false" customHeight="false" outlineLevel="0" collapsed="false">
      <c r="R709" s="0"/>
      <c r="S709" s="0"/>
    </row>
    <row r="710" s="1" customFormat="true" ht="14.25" hidden="false" customHeight="false" outlineLevel="0" collapsed="false">
      <c r="R710" s="0"/>
      <c r="S710" s="0"/>
    </row>
    <row r="711" s="1" customFormat="true" ht="14.25" hidden="false" customHeight="false" outlineLevel="0" collapsed="false">
      <c r="R711" s="0"/>
      <c r="S711" s="0"/>
    </row>
    <row r="712" s="1" customFormat="true" ht="14.25" hidden="false" customHeight="false" outlineLevel="0" collapsed="false">
      <c r="R712" s="0"/>
      <c r="S712" s="0"/>
    </row>
    <row r="713" s="1" customFormat="true" ht="14.25" hidden="false" customHeight="false" outlineLevel="0" collapsed="false">
      <c r="R713" s="0"/>
      <c r="S713" s="0"/>
    </row>
    <row r="714" s="1" customFormat="true" ht="14.25" hidden="false" customHeight="false" outlineLevel="0" collapsed="false">
      <c r="R714" s="0"/>
      <c r="S714" s="0"/>
    </row>
    <row r="715" s="1" customFormat="true" ht="14.25" hidden="false" customHeight="false" outlineLevel="0" collapsed="false">
      <c r="R715" s="0"/>
      <c r="S715" s="0"/>
    </row>
    <row r="716" s="1" customFormat="true" ht="14.25" hidden="false" customHeight="false" outlineLevel="0" collapsed="false">
      <c r="R716" s="0"/>
      <c r="S716" s="0"/>
    </row>
    <row r="717" s="1" customFormat="true" ht="14.25" hidden="false" customHeight="false" outlineLevel="0" collapsed="false">
      <c r="R717" s="0"/>
      <c r="S717" s="0"/>
    </row>
    <row r="718" s="1" customFormat="true" ht="14.25" hidden="false" customHeight="false" outlineLevel="0" collapsed="false">
      <c r="R718" s="0"/>
      <c r="S718" s="0"/>
    </row>
    <row r="719" s="1" customFormat="true" ht="14.25" hidden="false" customHeight="false" outlineLevel="0" collapsed="false">
      <c r="R719" s="0"/>
      <c r="S719" s="0"/>
    </row>
    <row r="720" s="1" customFormat="true" ht="14.25" hidden="false" customHeight="false" outlineLevel="0" collapsed="false">
      <c r="R720" s="0"/>
      <c r="S720" s="0"/>
    </row>
    <row r="721" s="1" customFormat="true" ht="14.25" hidden="false" customHeight="false" outlineLevel="0" collapsed="false">
      <c r="R721" s="0"/>
      <c r="S721" s="0"/>
    </row>
    <row r="722" s="1" customFormat="true" ht="14.25" hidden="false" customHeight="false" outlineLevel="0" collapsed="false">
      <c r="R722" s="0"/>
      <c r="S722" s="0"/>
    </row>
    <row r="723" s="1" customFormat="true" ht="14.25" hidden="false" customHeight="false" outlineLevel="0" collapsed="false">
      <c r="R723" s="0"/>
      <c r="S723" s="0"/>
    </row>
    <row r="724" s="1" customFormat="true" ht="14.25" hidden="false" customHeight="false" outlineLevel="0" collapsed="false">
      <c r="R724" s="0"/>
      <c r="S724" s="0"/>
    </row>
    <row r="725" s="1" customFormat="true" ht="14.25" hidden="false" customHeight="false" outlineLevel="0" collapsed="false">
      <c r="R725" s="0"/>
      <c r="S725" s="0"/>
    </row>
    <row r="726" s="1" customFormat="true" ht="14.25" hidden="false" customHeight="false" outlineLevel="0" collapsed="false">
      <c r="R726" s="0"/>
      <c r="S726" s="0"/>
    </row>
    <row r="727" s="1" customFormat="true" ht="14.25" hidden="false" customHeight="false" outlineLevel="0" collapsed="false">
      <c r="R727" s="0"/>
      <c r="S727" s="0"/>
    </row>
    <row r="728" s="1" customFormat="true" ht="14.25" hidden="false" customHeight="false" outlineLevel="0" collapsed="false">
      <c r="R728" s="0"/>
      <c r="S728" s="0"/>
    </row>
    <row r="729" s="1" customFormat="true" ht="14.25" hidden="false" customHeight="false" outlineLevel="0" collapsed="false">
      <c r="R729" s="0"/>
      <c r="S729" s="0"/>
    </row>
    <row r="730" s="1" customFormat="true" ht="14.25" hidden="false" customHeight="false" outlineLevel="0" collapsed="false">
      <c r="R730" s="0"/>
      <c r="S730" s="0"/>
    </row>
    <row r="731" s="1" customFormat="true" ht="14.25" hidden="false" customHeight="false" outlineLevel="0" collapsed="false">
      <c r="R731" s="0"/>
      <c r="S731" s="0"/>
    </row>
    <row r="732" s="1" customFormat="true" ht="14.25" hidden="false" customHeight="false" outlineLevel="0" collapsed="false">
      <c r="R732" s="0"/>
      <c r="S732" s="0"/>
    </row>
    <row r="733" s="1" customFormat="true" ht="14.25" hidden="false" customHeight="false" outlineLevel="0" collapsed="false">
      <c r="R733" s="0"/>
      <c r="S733" s="0"/>
    </row>
    <row r="734" s="1" customFormat="true" ht="14.25" hidden="false" customHeight="false" outlineLevel="0" collapsed="false">
      <c r="R734" s="0"/>
      <c r="S734" s="0"/>
    </row>
    <row r="735" s="1" customFormat="true" ht="14.25" hidden="false" customHeight="false" outlineLevel="0" collapsed="false">
      <c r="R735" s="0"/>
      <c r="S735" s="0"/>
    </row>
    <row r="736" s="1" customFormat="true" ht="14.25" hidden="false" customHeight="false" outlineLevel="0" collapsed="false">
      <c r="R736" s="0"/>
      <c r="S736" s="0"/>
    </row>
    <row r="737" s="1" customFormat="true" ht="14.25" hidden="false" customHeight="false" outlineLevel="0" collapsed="false">
      <c r="R737" s="0"/>
      <c r="S737" s="0"/>
    </row>
    <row r="738" s="1" customFormat="true" ht="14.25" hidden="false" customHeight="false" outlineLevel="0" collapsed="false">
      <c r="R738" s="0"/>
      <c r="S738" s="0"/>
    </row>
    <row r="739" s="1" customFormat="true" ht="14.25" hidden="false" customHeight="false" outlineLevel="0" collapsed="false">
      <c r="R739" s="0"/>
      <c r="S739" s="0"/>
    </row>
    <row r="740" s="1" customFormat="true" ht="14.25" hidden="false" customHeight="false" outlineLevel="0" collapsed="false">
      <c r="R740" s="0"/>
      <c r="S740" s="0"/>
    </row>
    <row r="741" s="1" customFormat="true" ht="14.25" hidden="false" customHeight="false" outlineLevel="0" collapsed="false">
      <c r="R741" s="0"/>
      <c r="S741" s="0"/>
    </row>
    <row r="742" s="1" customFormat="true" ht="14.25" hidden="false" customHeight="false" outlineLevel="0" collapsed="false">
      <c r="R742" s="0"/>
      <c r="S742" s="0"/>
    </row>
    <row r="743" s="1" customFormat="true" ht="14.25" hidden="false" customHeight="false" outlineLevel="0" collapsed="false">
      <c r="R743" s="0"/>
      <c r="S743" s="0"/>
    </row>
    <row r="744" s="1" customFormat="true" ht="14.25" hidden="false" customHeight="false" outlineLevel="0" collapsed="false">
      <c r="R744" s="0"/>
      <c r="S744" s="0"/>
    </row>
    <row r="745" s="1" customFormat="true" ht="14.25" hidden="false" customHeight="false" outlineLevel="0" collapsed="false">
      <c r="R745" s="0"/>
      <c r="S745" s="0"/>
    </row>
    <row r="746" s="1" customFormat="true" ht="14.25" hidden="false" customHeight="false" outlineLevel="0" collapsed="false">
      <c r="R746" s="0"/>
      <c r="S746" s="0"/>
    </row>
    <row r="747" s="1" customFormat="true" ht="14.25" hidden="false" customHeight="false" outlineLevel="0" collapsed="false">
      <c r="R747" s="0"/>
      <c r="S747" s="0"/>
    </row>
    <row r="748" s="1" customFormat="true" ht="14.25" hidden="false" customHeight="false" outlineLevel="0" collapsed="false">
      <c r="R748" s="0"/>
      <c r="S748" s="0"/>
    </row>
    <row r="749" s="1" customFormat="true" ht="14.25" hidden="false" customHeight="false" outlineLevel="0" collapsed="false">
      <c r="R749" s="0"/>
      <c r="S749" s="0"/>
    </row>
    <row r="750" s="1" customFormat="true" ht="14.25" hidden="false" customHeight="false" outlineLevel="0" collapsed="false">
      <c r="R750" s="0"/>
      <c r="S750" s="0"/>
    </row>
    <row r="751" s="1" customFormat="true" ht="14.25" hidden="false" customHeight="false" outlineLevel="0" collapsed="false">
      <c r="R751" s="0"/>
      <c r="S751" s="0"/>
    </row>
    <row r="752" s="1" customFormat="true" ht="14.25" hidden="false" customHeight="false" outlineLevel="0" collapsed="false">
      <c r="R752" s="0"/>
      <c r="S752" s="0"/>
    </row>
    <row r="753" s="1" customFormat="true" ht="14.25" hidden="false" customHeight="false" outlineLevel="0" collapsed="false">
      <c r="R753" s="0"/>
      <c r="S753" s="0"/>
    </row>
    <row r="754" s="1" customFormat="true" ht="14.25" hidden="false" customHeight="false" outlineLevel="0" collapsed="false">
      <c r="R754" s="0"/>
      <c r="S754" s="0"/>
    </row>
    <row r="755" s="1" customFormat="true" ht="14.25" hidden="false" customHeight="false" outlineLevel="0" collapsed="false">
      <c r="R755" s="0"/>
      <c r="S755" s="0"/>
    </row>
    <row r="756" s="1" customFormat="true" ht="14.25" hidden="false" customHeight="false" outlineLevel="0" collapsed="false">
      <c r="R756" s="0"/>
      <c r="S756" s="0"/>
    </row>
    <row r="757" s="1" customFormat="true" ht="14.25" hidden="false" customHeight="false" outlineLevel="0" collapsed="false">
      <c r="R757" s="0"/>
      <c r="S757" s="0"/>
    </row>
    <row r="758" s="1" customFormat="true" ht="14.25" hidden="false" customHeight="false" outlineLevel="0" collapsed="false">
      <c r="R758" s="0"/>
      <c r="S758" s="0"/>
    </row>
    <row r="759" s="1" customFormat="true" ht="14.25" hidden="false" customHeight="false" outlineLevel="0" collapsed="false">
      <c r="R759" s="0"/>
      <c r="S759" s="0"/>
    </row>
    <row r="760" s="1" customFormat="true" ht="14.25" hidden="false" customHeight="false" outlineLevel="0" collapsed="false">
      <c r="R760" s="0"/>
      <c r="S760" s="0"/>
    </row>
    <row r="761" s="1" customFormat="true" ht="14.25" hidden="false" customHeight="false" outlineLevel="0" collapsed="false">
      <c r="R761" s="0"/>
      <c r="S761" s="0"/>
    </row>
    <row r="762" s="1" customFormat="true" ht="14.25" hidden="false" customHeight="false" outlineLevel="0" collapsed="false">
      <c r="R762" s="0"/>
      <c r="S762" s="0"/>
    </row>
    <row r="763" s="1" customFormat="true" ht="14.25" hidden="false" customHeight="false" outlineLevel="0" collapsed="false">
      <c r="R763" s="0"/>
      <c r="S763" s="0"/>
    </row>
    <row r="764" s="1" customFormat="true" ht="14.25" hidden="false" customHeight="false" outlineLevel="0" collapsed="false">
      <c r="R764" s="0"/>
      <c r="S764" s="0"/>
    </row>
    <row r="765" s="1" customFormat="true" ht="14.25" hidden="false" customHeight="false" outlineLevel="0" collapsed="false">
      <c r="R765" s="0"/>
      <c r="S765" s="0"/>
    </row>
    <row r="766" s="1" customFormat="true" ht="14.25" hidden="false" customHeight="false" outlineLevel="0" collapsed="false">
      <c r="R766" s="0"/>
      <c r="S766" s="0"/>
    </row>
    <row r="767" s="1" customFormat="true" ht="14.25" hidden="false" customHeight="false" outlineLevel="0" collapsed="false">
      <c r="R767" s="0"/>
      <c r="S767" s="0"/>
    </row>
    <row r="768" s="1" customFormat="true" ht="14.25" hidden="false" customHeight="false" outlineLevel="0" collapsed="false">
      <c r="R768" s="0"/>
      <c r="S768" s="0"/>
    </row>
    <row r="769" s="1" customFormat="true" ht="14.25" hidden="false" customHeight="false" outlineLevel="0" collapsed="false">
      <c r="R769" s="0"/>
      <c r="S769" s="0"/>
    </row>
    <row r="770" s="1" customFormat="true" ht="14.25" hidden="false" customHeight="false" outlineLevel="0" collapsed="false">
      <c r="R770" s="0"/>
      <c r="S770" s="0"/>
    </row>
    <row r="771" s="1" customFormat="true" ht="14.25" hidden="false" customHeight="false" outlineLevel="0" collapsed="false">
      <c r="R771" s="0"/>
      <c r="S771" s="0"/>
    </row>
    <row r="772" s="1" customFormat="true" ht="14.25" hidden="false" customHeight="false" outlineLevel="0" collapsed="false">
      <c r="R772" s="0"/>
      <c r="S772" s="0"/>
    </row>
    <row r="773" s="1" customFormat="true" ht="14.25" hidden="false" customHeight="false" outlineLevel="0" collapsed="false">
      <c r="R773" s="0"/>
      <c r="S773" s="0"/>
    </row>
    <row r="774" s="1" customFormat="true" ht="14.25" hidden="false" customHeight="false" outlineLevel="0" collapsed="false">
      <c r="R774" s="0"/>
      <c r="S774" s="0"/>
    </row>
    <row r="775" s="1" customFormat="true" ht="14.25" hidden="false" customHeight="false" outlineLevel="0" collapsed="false">
      <c r="R775" s="0"/>
      <c r="S775" s="0"/>
    </row>
    <row r="776" s="1" customFormat="true" ht="14.25" hidden="false" customHeight="false" outlineLevel="0" collapsed="false">
      <c r="R776" s="0"/>
      <c r="S776" s="0"/>
    </row>
    <row r="777" s="1" customFormat="true" ht="14.25" hidden="false" customHeight="false" outlineLevel="0" collapsed="false">
      <c r="R777" s="0"/>
      <c r="S777" s="0"/>
    </row>
    <row r="778" s="1" customFormat="true" ht="14.25" hidden="false" customHeight="false" outlineLevel="0" collapsed="false">
      <c r="R778" s="0"/>
      <c r="S778" s="0"/>
    </row>
    <row r="779" s="1" customFormat="true" ht="14.25" hidden="false" customHeight="false" outlineLevel="0" collapsed="false">
      <c r="R779" s="0"/>
      <c r="S779" s="0"/>
    </row>
    <row r="780" s="1" customFormat="true" ht="14.25" hidden="false" customHeight="false" outlineLevel="0" collapsed="false">
      <c r="R780" s="0"/>
      <c r="S780" s="0"/>
    </row>
    <row r="781" s="1" customFormat="true" ht="14.25" hidden="false" customHeight="false" outlineLevel="0" collapsed="false">
      <c r="R781" s="0"/>
      <c r="S781" s="0"/>
    </row>
    <row r="782" s="1" customFormat="true" ht="14.25" hidden="false" customHeight="false" outlineLevel="0" collapsed="false">
      <c r="R782" s="0"/>
      <c r="S782" s="0"/>
    </row>
    <row r="783" s="1" customFormat="true" ht="14.25" hidden="false" customHeight="false" outlineLevel="0" collapsed="false">
      <c r="R783" s="0"/>
      <c r="S783" s="0"/>
    </row>
    <row r="784" s="1" customFormat="true" ht="14.25" hidden="false" customHeight="false" outlineLevel="0" collapsed="false">
      <c r="R784" s="0"/>
      <c r="S784" s="0"/>
    </row>
    <row r="785" s="1" customFormat="true" ht="14.25" hidden="false" customHeight="false" outlineLevel="0" collapsed="false">
      <c r="R785" s="0"/>
      <c r="S785" s="0"/>
    </row>
    <row r="786" s="1" customFormat="true" ht="14.25" hidden="false" customHeight="false" outlineLevel="0" collapsed="false">
      <c r="R786" s="0"/>
      <c r="S786" s="0"/>
    </row>
    <row r="787" s="1" customFormat="true" ht="14.25" hidden="false" customHeight="false" outlineLevel="0" collapsed="false">
      <c r="R787" s="0"/>
      <c r="S787" s="0"/>
    </row>
    <row r="788" s="1" customFormat="true" ht="14.25" hidden="false" customHeight="false" outlineLevel="0" collapsed="false">
      <c r="R788" s="0"/>
      <c r="S788" s="0"/>
    </row>
    <row r="789" s="1" customFormat="true" ht="14.25" hidden="false" customHeight="false" outlineLevel="0" collapsed="false">
      <c r="R789" s="0"/>
      <c r="S789" s="0"/>
    </row>
    <row r="790" s="1" customFormat="true" ht="14.25" hidden="false" customHeight="false" outlineLevel="0" collapsed="false">
      <c r="R790" s="0"/>
      <c r="S790" s="0"/>
    </row>
    <row r="791" s="1" customFormat="true" ht="14.25" hidden="false" customHeight="false" outlineLevel="0" collapsed="false">
      <c r="R791" s="0"/>
      <c r="S791" s="0"/>
    </row>
    <row r="792" s="1" customFormat="true" ht="14.25" hidden="false" customHeight="false" outlineLevel="0" collapsed="false">
      <c r="R792" s="0"/>
      <c r="S792" s="0"/>
    </row>
    <row r="793" s="1" customFormat="true" ht="14.25" hidden="false" customHeight="false" outlineLevel="0" collapsed="false">
      <c r="R793" s="0"/>
      <c r="S793" s="0"/>
    </row>
    <row r="794" s="1" customFormat="true" ht="14.25" hidden="false" customHeight="false" outlineLevel="0" collapsed="false">
      <c r="R794" s="0"/>
      <c r="S794" s="0"/>
    </row>
    <row r="795" s="1" customFormat="true" ht="14.25" hidden="false" customHeight="false" outlineLevel="0" collapsed="false">
      <c r="R795" s="0"/>
      <c r="S795" s="0"/>
    </row>
    <row r="796" s="1" customFormat="true" ht="14.25" hidden="false" customHeight="false" outlineLevel="0" collapsed="false">
      <c r="R796" s="0"/>
      <c r="S796" s="0"/>
    </row>
    <row r="797" s="1" customFormat="true" ht="14.25" hidden="false" customHeight="false" outlineLevel="0" collapsed="false">
      <c r="R797" s="0"/>
      <c r="S797" s="0"/>
    </row>
    <row r="798" s="1" customFormat="true" ht="14.25" hidden="false" customHeight="false" outlineLevel="0" collapsed="false">
      <c r="R798" s="0"/>
      <c r="S798" s="0"/>
    </row>
    <row r="799" s="1" customFormat="true" ht="14.25" hidden="false" customHeight="false" outlineLevel="0" collapsed="false">
      <c r="R799" s="0"/>
      <c r="S799" s="0"/>
    </row>
    <row r="800" s="1" customFormat="true" ht="14.25" hidden="false" customHeight="false" outlineLevel="0" collapsed="false">
      <c r="R800" s="0"/>
      <c r="S800" s="0"/>
    </row>
    <row r="801" s="1" customFormat="true" ht="14.25" hidden="false" customHeight="false" outlineLevel="0" collapsed="false">
      <c r="R801" s="0"/>
      <c r="S801" s="0"/>
    </row>
    <row r="802" s="1" customFormat="true" ht="14.25" hidden="false" customHeight="false" outlineLevel="0" collapsed="false">
      <c r="R802" s="0"/>
      <c r="S802" s="0"/>
    </row>
    <row r="803" s="1" customFormat="true" ht="14.25" hidden="false" customHeight="false" outlineLevel="0" collapsed="false">
      <c r="R803" s="0"/>
      <c r="S803" s="0"/>
    </row>
    <row r="804" s="1" customFormat="true" ht="14.25" hidden="false" customHeight="false" outlineLevel="0" collapsed="false">
      <c r="R804" s="0"/>
      <c r="S804" s="0"/>
    </row>
    <row r="805" s="1" customFormat="true" ht="14.25" hidden="false" customHeight="false" outlineLevel="0" collapsed="false">
      <c r="R805" s="0"/>
      <c r="S805" s="0"/>
    </row>
    <row r="806" s="1" customFormat="true" ht="14.25" hidden="false" customHeight="false" outlineLevel="0" collapsed="false">
      <c r="R806" s="0"/>
      <c r="S806" s="0"/>
    </row>
    <row r="807" s="1" customFormat="true" ht="14.25" hidden="false" customHeight="false" outlineLevel="0" collapsed="false">
      <c r="R807" s="0"/>
      <c r="S807" s="0"/>
    </row>
    <row r="808" s="1" customFormat="true" ht="14.25" hidden="false" customHeight="false" outlineLevel="0" collapsed="false">
      <c r="R808" s="0"/>
      <c r="S808" s="0"/>
    </row>
    <row r="809" s="1" customFormat="true" ht="14.25" hidden="false" customHeight="false" outlineLevel="0" collapsed="false">
      <c r="R809" s="0"/>
      <c r="S809" s="0"/>
    </row>
    <row r="810" s="1" customFormat="true" ht="14.25" hidden="false" customHeight="false" outlineLevel="0" collapsed="false">
      <c r="R810" s="0"/>
      <c r="S810" s="0"/>
    </row>
    <row r="811" s="1" customFormat="true" ht="14.25" hidden="false" customHeight="false" outlineLevel="0" collapsed="false">
      <c r="R811" s="0"/>
      <c r="S811" s="0"/>
    </row>
    <row r="812" s="1" customFormat="true" ht="14.25" hidden="false" customHeight="false" outlineLevel="0" collapsed="false">
      <c r="R812" s="0"/>
      <c r="S812" s="0"/>
    </row>
    <row r="813" s="1" customFormat="true" ht="14.25" hidden="false" customHeight="false" outlineLevel="0" collapsed="false">
      <c r="R813" s="0"/>
      <c r="S813" s="0"/>
    </row>
    <row r="814" s="1" customFormat="true" ht="14.25" hidden="false" customHeight="false" outlineLevel="0" collapsed="false">
      <c r="R814" s="0"/>
      <c r="S814" s="0"/>
    </row>
    <row r="815" s="1" customFormat="true" ht="14.25" hidden="false" customHeight="false" outlineLevel="0" collapsed="false">
      <c r="R815" s="0"/>
      <c r="S815" s="0"/>
    </row>
    <row r="816" s="1" customFormat="true" ht="14.25" hidden="false" customHeight="false" outlineLevel="0" collapsed="false">
      <c r="R816" s="0"/>
      <c r="S816" s="0"/>
    </row>
    <row r="817" s="1" customFormat="true" ht="14.25" hidden="false" customHeight="false" outlineLevel="0" collapsed="false">
      <c r="R817" s="0"/>
      <c r="S817" s="0"/>
    </row>
    <row r="818" s="1" customFormat="true" ht="14.25" hidden="false" customHeight="false" outlineLevel="0" collapsed="false">
      <c r="R818" s="0"/>
      <c r="S818" s="0"/>
    </row>
    <row r="819" s="1" customFormat="true" ht="14.25" hidden="false" customHeight="false" outlineLevel="0" collapsed="false">
      <c r="R819" s="0"/>
      <c r="S819" s="0"/>
    </row>
    <row r="820" s="1" customFormat="true" ht="14.25" hidden="false" customHeight="false" outlineLevel="0" collapsed="false">
      <c r="R820" s="0"/>
      <c r="S820" s="0"/>
    </row>
    <row r="821" s="1" customFormat="true" ht="14.25" hidden="false" customHeight="false" outlineLevel="0" collapsed="false">
      <c r="R821" s="0"/>
      <c r="S821" s="0"/>
    </row>
    <row r="822" s="1" customFormat="true" ht="14.25" hidden="false" customHeight="false" outlineLevel="0" collapsed="false">
      <c r="R822" s="0"/>
      <c r="S822" s="0"/>
    </row>
    <row r="823" s="1" customFormat="true" ht="14.25" hidden="false" customHeight="false" outlineLevel="0" collapsed="false">
      <c r="R823" s="0"/>
      <c r="S823" s="0"/>
    </row>
    <row r="824" s="1" customFormat="true" ht="14.25" hidden="false" customHeight="false" outlineLevel="0" collapsed="false">
      <c r="R824" s="0"/>
      <c r="S824" s="0"/>
    </row>
    <row r="825" s="1" customFormat="true" ht="14.25" hidden="false" customHeight="false" outlineLevel="0" collapsed="false">
      <c r="R825" s="0"/>
      <c r="S825" s="0"/>
    </row>
    <row r="826" s="1" customFormat="true" ht="14.25" hidden="false" customHeight="false" outlineLevel="0" collapsed="false">
      <c r="R826" s="0"/>
      <c r="S826" s="0"/>
    </row>
    <row r="827" s="1" customFormat="true" ht="14.25" hidden="false" customHeight="false" outlineLevel="0" collapsed="false">
      <c r="R827" s="0"/>
      <c r="S827" s="0"/>
    </row>
    <row r="828" s="1" customFormat="true" ht="14.25" hidden="false" customHeight="false" outlineLevel="0" collapsed="false">
      <c r="R828" s="0"/>
      <c r="S828" s="0"/>
    </row>
    <row r="829" s="1" customFormat="true" ht="14.25" hidden="false" customHeight="false" outlineLevel="0" collapsed="false">
      <c r="R829" s="0"/>
      <c r="S829" s="0"/>
    </row>
    <row r="830" s="1" customFormat="true" ht="14.25" hidden="false" customHeight="false" outlineLevel="0" collapsed="false">
      <c r="R830" s="0"/>
      <c r="S830" s="0"/>
    </row>
    <row r="831" s="1" customFormat="true" ht="14.25" hidden="false" customHeight="false" outlineLevel="0" collapsed="false">
      <c r="R831" s="0"/>
      <c r="S831" s="0"/>
    </row>
    <row r="832" s="1" customFormat="true" ht="14.25" hidden="false" customHeight="false" outlineLevel="0" collapsed="false">
      <c r="R832" s="0"/>
      <c r="S832" s="0"/>
    </row>
    <row r="833" s="1" customFormat="true" ht="14.25" hidden="false" customHeight="false" outlineLevel="0" collapsed="false">
      <c r="R833" s="0"/>
      <c r="S833" s="0"/>
    </row>
    <row r="834" s="1" customFormat="true" ht="14.25" hidden="false" customHeight="false" outlineLevel="0" collapsed="false">
      <c r="R834" s="0"/>
      <c r="S834" s="0"/>
    </row>
    <row r="835" s="1" customFormat="true" ht="14.25" hidden="false" customHeight="false" outlineLevel="0" collapsed="false">
      <c r="R835" s="0"/>
      <c r="S835" s="0"/>
    </row>
    <row r="836" s="1" customFormat="true" ht="14.25" hidden="false" customHeight="false" outlineLevel="0" collapsed="false">
      <c r="R836" s="0"/>
      <c r="S836" s="0"/>
    </row>
    <row r="837" s="1" customFormat="true" ht="14.25" hidden="false" customHeight="false" outlineLevel="0" collapsed="false">
      <c r="R837" s="0"/>
      <c r="S837" s="0"/>
    </row>
    <row r="838" s="1" customFormat="true" ht="14.25" hidden="false" customHeight="false" outlineLevel="0" collapsed="false">
      <c r="R838" s="0"/>
      <c r="S838" s="0"/>
    </row>
    <row r="839" s="1" customFormat="true" ht="14.25" hidden="false" customHeight="false" outlineLevel="0" collapsed="false">
      <c r="R839" s="0"/>
      <c r="S839" s="0"/>
    </row>
    <row r="840" s="1" customFormat="true" ht="14.25" hidden="false" customHeight="false" outlineLevel="0" collapsed="false">
      <c r="R840" s="0"/>
      <c r="S840" s="0"/>
    </row>
    <row r="841" s="1" customFormat="true" ht="14.25" hidden="false" customHeight="false" outlineLevel="0" collapsed="false">
      <c r="R841" s="0"/>
      <c r="S841" s="0"/>
    </row>
    <row r="842" s="1" customFormat="true" ht="14.25" hidden="false" customHeight="false" outlineLevel="0" collapsed="false">
      <c r="R842" s="0"/>
      <c r="S842" s="0"/>
    </row>
    <row r="843" s="1" customFormat="true" ht="14.25" hidden="false" customHeight="false" outlineLevel="0" collapsed="false">
      <c r="R843" s="0"/>
      <c r="S843" s="0"/>
    </row>
    <row r="844" s="1" customFormat="true" ht="14.25" hidden="false" customHeight="false" outlineLevel="0" collapsed="false">
      <c r="R844" s="0"/>
      <c r="S844" s="0"/>
    </row>
    <row r="845" s="1" customFormat="true" ht="14.25" hidden="false" customHeight="false" outlineLevel="0" collapsed="false">
      <c r="R845" s="0"/>
      <c r="S845" s="0"/>
    </row>
    <row r="846" s="1" customFormat="true" ht="14.25" hidden="false" customHeight="false" outlineLevel="0" collapsed="false">
      <c r="R846" s="0"/>
      <c r="S846" s="0"/>
    </row>
    <row r="847" s="1" customFormat="true" ht="14.25" hidden="false" customHeight="false" outlineLevel="0" collapsed="false">
      <c r="R847" s="0"/>
      <c r="S847" s="0"/>
    </row>
    <row r="848" s="1" customFormat="true" ht="14.25" hidden="false" customHeight="false" outlineLevel="0" collapsed="false">
      <c r="R848" s="0"/>
      <c r="S848" s="0"/>
    </row>
    <row r="849" s="1" customFormat="true" ht="14.25" hidden="false" customHeight="false" outlineLevel="0" collapsed="false">
      <c r="R849" s="0"/>
      <c r="S849" s="0"/>
    </row>
    <row r="850" s="1" customFormat="true" ht="14.25" hidden="false" customHeight="false" outlineLevel="0" collapsed="false">
      <c r="R850" s="0"/>
      <c r="S850" s="0"/>
    </row>
    <row r="851" s="1" customFormat="true" ht="14.25" hidden="false" customHeight="false" outlineLevel="0" collapsed="false">
      <c r="R851" s="0"/>
      <c r="S851" s="0"/>
    </row>
    <row r="852" s="1" customFormat="true" ht="14.25" hidden="false" customHeight="false" outlineLevel="0" collapsed="false">
      <c r="R852" s="0"/>
      <c r="S852" s="0"/>
    </row>
    <row r="853" s="1" customFormat="true" ht="14.25" hidden="false" customHeight="false" outlineLevel="0" collapsed="false">
      <c r="R853" s="0"/>
      <c r="S853" s="0"/>
    </row>
    <row r="854" s="1" customFormat="true" ht="14.25" hidden="false" customHeight="false" outlineLevel="0" collapsed="false">
      <c r="R854" s="0"/>
      <c r="S854" s="0"/>
    </row>
    <row r="855" s="1" customFormat="true" ht="14.25" hidden="false" customHeight="false" outlineLevel="0" collapsed="false">
      <c r="R855" s="0"/>
      <c r="S855" s="0"/>
    </row>
    <row r="856" s="1" customFormat="true" ht="14.25" hidden="false" customHeight="false" outlineLevel="0" collapsed="false">
      <c r="R856" s="0"/>
      <c r="S856" s="0"/>
    </row>
    <row r="857" s="1" customFormat="true" ht="14.25" hidden="false" customHeight="false" outlineLevel="0" collapsed="false">
      <c r="R857" s="0"/>
      <c r="S857" s="0"/>
    </row>
    <row r="858" s="1" customFormat="true" ht="14.25" hidden="false" customHeight="false" outlineLevel="0" collapsed="false">
      <c r="R858" s="0"/>
      <c r="S858" s="0"/>
    </row>
    <row r="859" s="1" customFormat="true" ht="14.25" hidden="false" customHeight="false" outlineLevel="0" collapsed="false">
      <c r="R859" s="0"/>
      <c r="S859" s="0"/>
    </row>
    <row r="860" s="1" customFormat="true" ht="14.25" hidden="false" customHeight="false" outlineLevel="0" collapsed="false">
      <c r="R860" s="0"/>
      <c r="S860" s="0"/>
    </row>
    <row r="861" s="1" customFormat="true" ht="14.25" hidden="false" customHeight="false" outlineLevel="0" collapsed="false">
      <c r="R861" s="0"/>
      <c r="S861" s="0"/>
    </row>
    <row r="862" s="1" customFormat="true" ht="14.25" hidden="false" customHeight="false" outlineLevel="0" collapsed="false">
      <c r="R862" s="0"/>
      <c r="S862" s="0"/>
    </row>
    <row r="863" s="1" customFormat="true" ht="14.25" hidden="false" customHeight="false" outlineLevel="0" collapsed="false">
      <c r="R863" s="0"/>
      <c r="S863" s="0"/>
    </row>
    <row r="864" s="1" customFormat="true" ht="14.25" hidden="false" customHeight="false" outlineLevel="0" collapsed="false">
      <c r="R864" s="0"/>
      <c r="S864" s="0"/>
    </row>
    <row r="865" s="1" customFormat="true" ht="14.25" hidden="false" customHeight="false" outlineLevel="0" collapsed="false">
      <c r="R865" s="0"/>
      <c r="S865" s="0"/>
    </row>
    <row r="866" s="1" customFormat="true" ht="14.25" hidden="false" customHeight="false" outlineLevel="0" collapsed="false">
      <c r="R866" s="0"/>
      <c r="S866" s="0"/>
    </row>
    <row r="867" s="1" customFormat="true" ht="14.25" hidden="false" customHeight="false" outlineLevel="0" collapsed="false">
      <c r="R867" s="0"/>
      <c r="S867" s="0"/>
    </row>
    <row r="868" s="1" customFormat="true" ht="14.25" hidden="false" customHeight="false" outlineLevel="0" collapsed="false">
      <c r="R868" s="0"/>
      <c r="S868" s="0"/>
    </row>
    <row r="869" s="1" customFormat="true" ht="14.25" hidden="false" customHeight="false" outlineLevel="0" collapsed="false">
      <c r="R869" s="0"/>
      <c r="S869" s="0"/>
    </row>
    <row r="870" s="1" customFormat="true" ht="14.25" hidden="false" customHeight="false" outlineLevel="0" collapsed="false">
      <c r="R870" s="0"/>
      <c r="S870" s="0"/>
    </row>
    <row r="871" s="1" customFormat="true" ht="14.25" hidden="false" customHeight="false" outlineLevel="0" collapsed="false">
      <c r="R871" s="0"/>
      <c r="S871" s="0"/>
    </row>
    <row r="872" s="1" customFormat="true" ht="14.25" hidden="false" customHeight="false" outlineLevel="0" collapsed="false">
      <c r="R872" s="0"/>
      <c r="S872" s="0"/>
    </row>
    <row r="873" s="1" customFormat="true" ht="14.25" hidden="false" customHeight="false" outlineLevel="0" collapsed="false">
      <c r="R873" s="0"/>
      <c r="S873" s="0"/>
    </row>
    <row r="874" s="1" customFormat="true" ht="14.25" hidden="false" customHeight="false" outlineLevel="0" collapsed="false">
      <c r="R874" s="0"/>
      <c r="S874" s="0"/>
    </row>
    <row r="875" s="1" customFormat="true" ht="14.25" hidden="false" customHeight="false" outlineLevel="0" collapsed="false">
      <c r="R875" s="0"/>
      <c r="S875" s="0"/>
    </row>
    <row r="876" s="1" customFormat="true" ht="14.25" hidden="false" customHeight="false" outlineLevel="0" collapsed="false">
      <c r="R876" s="0"/>
      <c r="S876" s="0"/>
    </row>
    <row r="877" s="1" customFormat="true" ht="14.25" hidden="false" customHeight="false" outlineLevel="0" collapsed="false">
      <c r="R877" s="0"/>
      <c r="S877" s="0"/>
    </row>
    <row r="878" s="1" customFormat="true" ht="14.25" hidden="false" customHeight="false" outlineLevel="0" collapsed="false">
      <c r="R878" s="0"/>
      <c r="S878" s="0"/>
    </row>
    <row r="879" s="1" customFormat="true" ht="14.25" hidden="false" customHeight="false" outlineLevel="0" collapsed="false">
      <c r="R879" s="0"/>
      <c r="S879" s="0"/>
    </row>
    <row r="880" s="1" customFormat="true" ht="14.25" hidden="false" customHeight="false" outlineLevel="0" collapsed="false">
      <c r="R880" s="0"/>
      <c r="S880" s="0"/>
    </row>
    <row r="881" s="1" customFormat="true" ht="14.25" hidden="false" customHeight="false" outlineLevel="0" collapsed="false">
      <c r="R881" s="0"/>
      <c r="S881" s="0"/>
    </row>
    <row r="882" s="1" customFormat="true" ht="14.25" hidden="false" customHeight="false" outlineLevel="0" collapsed="false">
      <c r="R882" s="0"/>
      <c r="S882" s="0"/>
    </row>
    <row r="883" s="1" customFormat="true" ht="14.25" hidden="false" customHeight="false" outlineLevel="0" collapsed="false">
      <c r="R883" s="0"/>
      <c r="S883" s="0"/>
    </row>
    <row r="884" s="1" customFormat="true" ht="14.25" hidden="false" customHeight="false" outlineLevel="0" collapsed="false">
      <c r="R884" s="0"/>
      <c r="S884" s="0"/>
    </row>
    <row r="885" s="1" customFormat="true" ht="14.25" hidden="false" customHeight="false" outlineLevel="0" collapsed="false">
      <c r="R885" s="0"/>
      <c r="S885" s="0"/>
    </row>
    <row r="886" s="1" customFormat="true" ht="14.25" hidden="false" customHeight="false" outlineLevel="0" collapsed="false">
      <c r="R886" s="0"/>
      <c r="S886" s="0"/>
    </row>
    <row r="887" s="1" customFormat="true" ht="14.25" hidden="false" customHeight="false" outlineLevel="0" collapsed="false">
      <c r="R887" s="0"/>
      <c r="S887" s="0"/>
    </row>
    <row r="888" s="1" customFormat="true" ht="14.25" hidden="false" customHeight="false" outlineLevel="0" collapsed="false">
      <c r="R888" s="0"/>
      <c r="S888" s="0"/>
    </row>
    <row r="889" s="1" customFormat="true" ht="14.25" hidden="false" customHeight="false" outlineLevel="0" collapsed="false">
      <c r="R889" s="0"/>
      <c r="S889" s="0"/>
    </row>
    <row r="890" s="1" customFormat="true" ht="14.25" hidden="false" customHeight="false" outlineLevel="0" collapsed="false">
      <c r="R890" s="0"/>
      <c r="S890" s="0"/>
    </row>
    <row r="891" s="1" customFormat="true" ht="14.25" hidden="false" customHeight="false" outlineLevel="0" collapsed="false">
      <c r="R891" s="0"/>
      <c r="S891" s="0"/>
    </row>
    <row r="892" s="1" customFormat="true" ht="14.25" hidden="false" customHeight="false" outlineLevel="0" collapsed="false">
      <c r="R892" s="0"/>
      <c r="S892" s="0"/>
    </row>
    <row r="893" s="1" customFormat="true" ht="14.25" hidden="false" customHeight="false" outlineLevel="0" collapsed="false">
      <c r="R893" s="0"/>
      <c r="S893" s="0"/>
    </row>
    <row r="894" s="1" customFormat="true" ht="14.25" hidden="false" customHeight="false" outlineLevel="0" collapsed="false">
      <c r="R894" s="0"/>
      <c r="S894" s="0"/>
    </row>
    <row r="895" s="1" customFormat="true" ht="14.25" hidden="false" customHeight="false" outlineLevel="0" collapsed="false">
      <c r="R895" s="0"/>
      <c r="S895" s="0"/>
    </row>
    <row r="896" s="1" customFormat="true" ht="14.25" hidden="false" customHeight="false" outlineLevel="0" collapsed="false">
      <c r="R896" s="0"/>
      <c r="S896" s="0"/>
    </row>
    <row r="897" s="1" customFormat="true" ht="14.25" hidden="false" customHeight="false" outlineLevel="0" collapsed="false">
      <c r="R897" s="0"/>
      <c r="S897" s="0"/>
    </row>
    <row r="898" s="1" customFormat="true" ht="14.25" hidden="false" customHeight="false" outlineLevel="0" collapsed="false">
      <c r="R898" s="0"/>
      <c r="S898" s="0"/>
    </row>
    <row r="899" s="1" customFormat="true" ht="14.25" hidden="false" customHeight="false" outlineLevel="0" collapsed="false">
      <c r="R899" s="0"/>
      <c r="S899" s="0"/>
    </row>
    <row r="900" s="1" customFormat="true" ht="14.25" hidden="false" customHeight="false" outlineLevel="0" collapsed="false">
      <c r="R900" s="0"/>
      <c r="S900" s="0"/>
    </row>
    <row r="901" s="1" customFormat="true" ht="14.25" hidden="false" customHeight="false" outlineLevel="0" collapsed="false">
      <c r="R901" s="0"/>
      <c r="S901" s="0"/>
    </row>
    <row r="902" s="1" customFormat="true" ht="14.25" hidden="false" customHeight="false" outlineLevel="0" collapsed="false">
      <c r="R902" s="0"/>
      <c r="S902" s="0"/>
    </row>
    <row r="903" s="1" customFormat="true" ht="14.25" hidden="false" customHeight="false" outlineLevel="0" collapsed="false">
      <c r="R903" s="0"/>
      <c r="S903" s="0"/>
    </row>
    <row r="904" s="1" customFormat="true" ht="14.25" hidden="false" customHeight="false" outlineLevel="0" collapsed="false">
      <c r="R904" s="0"/>
      <c r="S904" s="0"/>
    </row>
    <row r="905" s="1" customFormat="true" ht="14.25" hidden="false" customHeight="false" outlineLevel="0" collapsed="false">
      <c r="R905" s="0"/>
      <c r="S905" s="0"/>
    </row>
    <row r="906" s="1" customFormat="true" ht="14.25" hidden="false" customHeight="false" outlineLevel="0" collapsed="false">
      <c r="R906" s="0"/>
      <c r="S906" s="0"/>
    </row>
    <row r="907" s="1" customFormat="true" ht="14.25" hidden="false" customHeight="false" outlineLevel="0" collapsed="false">
      <c r="R907" s="0"/>
      <c r="S907" s="0"/>
    </row>
    <row r="908" s="1" customFormat="true" ht="14.25" hidden="false" customHeight="false" outlineLevel="0" collapsed="false">
      <c r="R908" s="0"/>
      <c r="S908" s="0"/>
    </row>
    <row r="909" s="1" customFormat="true" ht="14.25" hidden="false" customHeight="false" outlineLevel="0" collapsed="false">
      <c r="R909" s="0"/>
      <c r="S909" s="0"/>
    </row>
    <row r="910" s="1" customFormat="true" ht="14.25" hidden="false" customHeight="false" outlineLevel="0" collapsed="false">
      <c r="R910" s="0"/>
      <c r="S910" s="0"/>
    </row>
    <row r="911" s="1" customFormat="true" ht="14.25" hidden="false" customHeight="false" outlineLevel="0" collapsed="false">
      <c r="R911" s="0"/>
      <c r="S911" s="0"/>
    </row>
    <row r="912" s="1" customFormat="true" ht="14.25" hidden="false" customHeight="false" outlineLevel="0" collapsed="false">
      <c r="R912" s="0"/>
      <c r="S912" s="0"/>
    </row>
    <row r="913" s="1" customFormat="true" ht="14.25" hidden="false" customHeight="false" outlineLevel="0" collapsed="false">
      <c r="R913" s="0"/>
      <c r="S913" s="0"/>
    </row>
    <row r="914" s="1" customFormat="true" ht="14.25" hidden="false" customHeight="false" outlineLevel="0" collapsed="false">
      <c r="R914" s="0"/>
      <c r="S914" s="0"/>
    </row>
    <row r="915" s="1" customFormat="true" ht="14.25" hidden="false" customHeight="false" outlineLevel="0" collapsed="false">
      <c r="R915" s="0"/>
      <c r="S915" s="0"/>
    </row>
    <row r="916" s="1" customFormat="true" ht="14.25" hidden="false" customHeight="false" outlineLevel="0" collapsed="false">
      <c r="R916" s="0"/>
      <c r="S916" s="0"/>
    </row>
    <row r="917" s="1" customFormat="true" ht="14.25" hidden="false" customHeight="false" outlineLevel="0" collapsed="false">
      <c r="R917" s="0"/>
      <c r="S917" s="0"/>
    </row>
    <row r="918" s="1" customFormat="true" ht="14.25" hidden="false" customHeight="false" outlineLevel="0" collapsed="false">
      <c r="R918" s="0"/>
      <c r="S918" s="0"/>
    </row>
    <row r="919" s="1" customFormat="true" ht="14.25" hidden="false" customHeight="false" outlineLevel="0" collapsed="false">
      <c r="R919" s="0"/>
      <c r="S919" s="0"/>
    </row>
    <row r="920" s="1" customFormat="true" ht="14.25" hidden="false" customHeight="false" outlineLevel="0" collapsed="false">
      <c r="R920" s="0"/>
      <c r="S920" s="0"/>
    </row>
    <row r="921" s="1" customFormat="true" ht="14.25" hidden="false" customHeight="false" outlineLevel="0" collapsed="false">
      <c r="R921" s="0"/>
      <c r="S921" s="0"/>
    </row>
    <row r="922" s="1" customFormat="true" ht="14.25" hidden="false" customHeight="false" outlineLevel="0" collapsed="false">
      <c r="R922" s="0"/>
      <c r="S922" s="0"/>
    </row>
    <row r="923" s="1" customFormat="true" ht="14.25" hidden="false" customHeight="false" outlineLevel="0" collapsed="false">
      <c r="R923" s="0"/>
      <c r="S923" s="0"/>
    </row>
    <row r="924" s="1" customFormat="true" ht="14.25" hidden="false" customHeight="false" outlineLevel="0" collapsed="false">
      <c r="R924" s="0"/>
      <c r="S924" s="0"/>
    </row>
    <row r="925" s="1" customFormat="true" ht="14.25" hidden="false" customHeight="false" outlineLevel="0" collapsed="false">
      <c r="R925" s="0"/>
      <c r="S925" s="0"/>
    </row>
    <row r="926" s="1" customFormat="true" ht="14.25" hidden="false" customHeight="false" outlineLevel="0" collapsed="false">
      <c r="R926" s="0"/>
      <c r="S926" s="0"/>
    </row>
    <row r="927" s="1" customFormat="true" ht="14.25" hidden="false" customHeight="false" outlineLevel="0" collapsed="false">
      <c r="R927" s="0"/>
      <c r="S927" s="0"/>
    </row>
    <row r="928" s="1" customFormat="true" ht="14.25" hidden="false" customHeight="false" outlineLevel="0" collapsed="false">
      <c r="R928" s="0"/>
      <c r="S928" s="0"/>
    </row>
    <row r="929" s="1" customFormat="true" ht="14.25" hidden="false" customHeight="false" outlineLevel="0" collapsed="false">
      <c r="R929" s="0"/>
      <c r="S929" s="0"/>
    </row>
    <row r="930" s="1" customFormat="true" ht="14.25" hidden="false" customHeight="false" outlineLevel="0" collapsed="false">
      <c r="R930" s="0"/>
      <c r="S930" s="0"/>
    </row>
    <row r="931" s="1" customFormat="true" ht="14.25" hidden="false" customHeight="false" outlineLevel="0" collapsed="false">
      <c r="R931" s="0"/>
      <c r="S931" s="0"/>
    </row>
    <row r="932" s="1" customFormat="true" ht="14.25" hidden="false" customHeight="false" outlineLevel="0" collapsed="false">
      <c r="R932" s="0"/>
      <c r="S932" s="0"/>
    </row>
    <row r="933" s="1" customFormat="true" ht="14.25" hidden="false" customHeight="false" outlineLevel="0" collapsed="false">
      <c r="R933" s="0"/>
      <c r="S933" s="0"/>
    </row>
    <row r="934" s="1" customFormat="true" ht="14.25" hidden="false" customHeight="false" outlineLevel="0" collapsed="false">
      <c r="R934" s="0"/>
      <c r="S934" s="0"/>
    </row>
    <row r="935" s="1" customFormat="true" ht="14.25" hidden="false" customHeight="false" outlineLevel="0" collapsed="false">
      <c r="R935" s="0"/>
      <c r="S935" s="0"/>
    </row>
    <row r="936" s="1" customFormat="true" ht="14.25" hidden="false" customHeight="false" outlineLevel="0" collapsed="false">
      <c r="R936" s="0"/>
      <c r="S936" s="0"/>
    </row>
    <row r="937" s="1" customFormat="true" ht="14.25" hidden="false" customHeight="false" outlineLevel="0" collapsed="false">
      <c r="R937" s="0"/>
      <c r="S937" s="0"/>
    </row>
    <row r="938" s="1" customFormat="true" ht="14.25" hidden="false" customHeight="false" outlineLevel="0" collapsed="false">
      <c r="R938" s="0"/>
      <c r="S938" s="0"/>
    </row>
    <row r="939" s="1" customFormat="true" ht="14.25" hidden="false" customHeight="false" outlineLevel="0" collapsed="false">
      <c r="R939" s="0"/>
      <c r="S939" s="0"/>
    </row>
    <row r="940" s="1" customFormat="true" ht="14.25" hidden="false" customHeight="false" outlineLevel="0" collapsed="false">
      <c r="R940" s="0"/>
      <c r="S940" s="0"/>
    </row>
    <row r="941" s="1" customFormat="true" ht="14.25" hidden="false" customHeight="false" outlineLevel="0" collapsed="false">
      <c r="R941" s="0"/>
      <c r="S941" s="0"/>
    </row>
    <row r="942" s="1" customFormat="true" ht="14.25" hidden="false" customHeight="false" outlineLevel="0" collapsed="false">
      <c r="R942" s="0"/>
      <c r="S942" s="0"/>
    </row>
    <row r="943" s="1" customFormat="true" ht="14.25" hidden="false" customHeight="false" outlineLevel="0" collapsed="false">
      <c r="R943" s="0"/>
      <c r="S943" s="0"/>
    </row>
    <row r="944" s="1" customFormat="true" ht="14.25" hidden="false" customHeight="false" outlineLevel="0" collapsed="false">
      <c r="R944" s="0"/>
      <c r="S944" s="0"/>
    </row>
    <row r="945" s="1" customFormat="true" ht="14.25" hidden="false" customHeight="false" outlineLevel="0" collapsed="false">
      <c r="R945" s="0"/>
      <c r="S945" s="0"/>
    </row>
    <row r="946" s="1" customFormat="true" ht="14.25" hidden="false" customHeight="false" outlineLevel="0" collapsed="false">
      <c r="R946" s="0"/>
      <c r="S946" s="0"/>
    </row>
    <row r="947" s="1" customFormat="true" ht="14.25" hidden="false" customHeight="false" outlineLevel="0" collapsed="false">
      <c r="R947" s="0"/>
      <c r="S947" s="0"/>
    </row>
    <row r="948" s="1" customFormat="true" ht="14.25" hidden="false" customHeight="false" outlineLevel="0" collapsed="false">
      <c r="R948" s="0"/>
      <c r="S948" s="0"/>
    </row>
    <row r="949" s="1" customFormat="true" ht="14.25" hidden="false" customHeight="false" outlineLevel="0" collapsed="false">
      <c r="R949" s="0"/>
      <c r="S949" s="0"/>
    </row>
    <row r="950" s="1" customFormat="true" ht="14.25" hidden="false" customHeight="false" outlineLevel="0" collapsed="false">
      <c r="R950" s="0"/>
      <c r="S950" s="0"/>
    </row>
    <row r="951" s="1" customFormat="true" ht="14.25" hidden="false" customHeight="false" outlineLevel="0" collapsed="false">
      <c r="R951" s="0"/>
      <c r="S951" s="0"/>
    </row>
    <row r="952" s="1" customFormat="true" ht="14.25" hidden="false" customHeight="false" outlineLevel="0" collapsed="false">
      <c r="R952" s="0"/>
      <c r="S952" s="0"/>
    </row>
    <row r="953" s="1" customFormat="true" ht="14.25" hidden="false" customHeight="false" outlineLevel="0" collapsed="false">
      <c r="R953" s="0"/>
      <c r="S953" s="0"/>
    </row>
    <row r="954" s="1" customFormat="true" ht="14.25" hidden="false" customHeight="false" outlineLevel="0" collapsed="false">
      <c r="R954" s="0"/>
      <c r="S954" s="0"/>
    </row>
    <row r="955" s="1" customFormat="true" ht="14.25" hidden="false" customHeight="false" outlineLevel="0" collapsed="false">
      <c r="R955" s="0"/>
      <c r="S955" s="0"/>
    </row>
    <row r="956" s="1" customFormat="true" ht="14.25" hidden="false" customHeight="false" outlineLevel="0" collapsed="false">
      <c r="R956" s="0"/>
      <c r="S956" s="0"/>
    </row>
    <row r="957" s="1" customFormat="true" ht="14.25" hidden="false" customHeight="false" outlineLevel="0" collapsed="false">
      <c r="R957" s="0"/>
      <c r="S957" s="0"/>
    </row>
    <row r="958" s="1" customFormat="true" ht="14.25" hidden="false" customHeight="false" outlineLevel="0" collapsed="false">
      <c r="R958" s="0"/>
      <c r="S958" s="0"/>
    </row>
    <row r="959" s="1" customFormat="true" ht="14.25" hidden="false" customHeight="false" outlineLevel="0" collapsed="false">
      <c r="R959" s="0"/>
      <c r="S959" s="0"/>
    </row>
    <row r="960" s="1" customFormat="true" ht="14.25" hidden="false" customHeight="false" outlineLevel="0" collapsed="false">
      <c r="R960" s="0"/>
      <c r="S960" s="0"/>
    </row>
    <row r="961" s="1" customFormat="true" ht="14.25" hidden="false" customHeight="false" outlineLevel="0" collapsed="false">
      <c r="R961" s="0"/>
      <c r="S961" s="0"/>
    </row>
    <row r="962" s="1" customFormat="true" ht="14.25" hidden="false" customHeight="false" outlineLevel="0" collapsed="false">
      <c r="R962" s="0"/>
      <c r="S962" s="0"/>
    </row>
    <row r="963" s="1" customFormat="true" ht="14.25" hidden="false" customHeight="false" outlineLevel="0" collapsed="false">
      <c r="R963" s="0"/>
      <c r="S963" s="0"/>
    </row>
    <row r="964" s="1" customFormat="true" ht="14.25" hidden="false" customHeight="false" outlineLevel="0" collapsed="false">
      <c r="R964" s="0"/>
      <c r="S964" s="0"/>
    </row>
    <row r="965" s="1" customFormat="true" ht="14.25" hidden="false" customHeight="false" outlineLevel="0" collapsed="false">
      <c r="R965" s="0"/>
      <c r="S965" s="0"/>
    </row>
    <row r="966" s="1" customFormat="true" ht="14.25" hidden="false" customHeight="false" outlineLevel="0" collapsed="false">
      <c r="R966" s="0"/>
      <c r="S966" s="0"/>
    </row>
    <row r="967" s="1" customFormat="true" ht="14.25" hidden="false" customHeight="false" outlineLevel="0" collapsed="false">
      <c r="R967" s="0"/>
      <c r="S967" s="0"/>
    </row>
    <row r="968" s="1" customFormat="true" ht="14.25" hidden="false" customHeight="false" outlineLevel="0" collapsed="false">
      <c r="R968" s="0"/>
      <c r="S968" s="0"/>
    </row>
    <row r="969" s="1" customFormat="true" ht="14.25" hidden="false" customHeight="false" outlineLevel="0" collapsed="false">
      <c r="R969" s="0"/>
      <c r="S969" s="0"/>
    </row>
    <row r="970" s="1" customFormat="true" ht="14.25" hidden="false" customHeight="false" outlineLevel="0" collapsed="false">
      <c r="R970" s="0"/>
      <c r="S970" s="0"/>
    </row>
    <row r="971" s="1" customFormat="true" ht="14.25" hidden="false" customHeight="false" outlineLevel="0" collapsed="false">
      <c r="R971" s="0"/>
      <c r="S971" s="0"/>
    </row>
    <row r="972" s="1" customFormat="true" ht="14.25" hidden="false" customHeight="false" outlineLevel="0" collapsed="false">
      <c r="R972" s="0"/>
      <c r="S972" s="0"/>
    </row>
    <row r="973" s="1" customFormat="true" ht="14.25" hidden="false" customHeight="false" outlineLevel="0" collapsed="false">
      <c r="R973" s="0"/>
      <c r="S973" s="0"/>
    </row>
    <row r="974" s="1" customFormat="true" ht="14.25" hidden="false" customHeight="false" outlineLevel="0" collapsed="false">
      <c r="R974" s="0"/>
      <c r="S974" s="0"/>
    </row>
    <row r="975" s="1" customFormat="true" ht="14.25" hidden="false" customHeight="false" outlineLevel="0" collapsed="false">
      <c r="R975" s="0"/>
      <c r="S975" s="0"/>
    </row>
    <row r="976" s="1" customFormat="true" ht="14.25" hidden="false" customHeight="false" outlineLevel="0" collapsed="false">
      <c r="R976" s="0"/>
      <c r="S976" s="0"/>
    </row>
    <row r="977" s="1" customFormat="true" ht="14.25" hidden="false" customHeight="false" outlineLevel="0" collapsed="false">
      <c r="R977" s="0"/>
      <c r="S977" s="0"/>
    </row>
    <row r="978" s="1" customFormat="true" ht="14.25" hidden="false" customHeight="false" outlineLevel="0" collapsed="false">
      <c r="R978" s="0"/>
      <c r="S978" s="0"/>
    </row>
    <row r="979" s="1" customFormat="true" ht="14.25" hidden="false" customHeight="false" outlineLevel="0" collapsed="false">
      <c r="R979" s="0"/>
      <c r="S979" s="0"/>
    </row>
    <row r="980" s="1" customFormat="true" ht="14.25" hidden="false" customHeight="false" outlineLevel="0" collapsed="false">
      <c r="R980" s="0"/>
      <c r="S980" s="0"/>
    </row>
    <row r="981" s="1" customFormat="true" ht="14.25" hidden="false" customHeight="false" outlineLevel="0" collapsed="false">
      <c r="R981" s="0"/>
      <c r="S981" s="0"/>
    </row>
    <row r="982" s="1" customFormat="true" ht="14.25" hidden="false" customHeight="false" outlineLevel="0" collapsed="false">
      <c r="R982" s="0"/>
      <c r="S982" s="0"/>
    </row>
    <row r="983" s="1" customFormat="true" ht="14.25" hidden="false" customHeight="false" outlineLevel="0" collapsed="false">
      <c r="R983" s="0"/>
      <c r="S983" s="0"/>
    </row>
    <row r="984" s="1" customFormat="true" ht="14.25" hidden="false" customHeight="false" outlineLevel="0" collapsed="false">
      <c r="R984" s="0"/>
      <c r="S984" s="0"/>
    </row>
    <row r="985" s="1" customFormat="true" ht="14.25" hidden="false" customHeight="false" outlineLevel="0" collapsed="false">
      <c r="R985" s="0"/>
      <c r="S985" s="0"/>
    </row>
    <row r="986" s="1" customFormat="true" ht="14.25" hidden="false" customHeight="false" outlineLevel="0" collapsed="false">
      <c r="R986" s="0"/>
      <c r="S986" s="0"/>
    </row>
    <row r="987" s="1" customFormat="true" ht="14.25" hidden="false" customHeight="false" outlineLevel="0" collapsed="false">
      <c r="R987" s="0"/>
      <c r="S987" s="0"/>
    </row>
    <row r="988" s="1" customFormat="true" ht="14.25" hidden="false" customHeight="false" outlineLevel="0" collapsed="false">
      <c r="R988" s="0"/>
      <c r="S988" s="0"/>
    </row>
    <row r="989" s="1" customFormat="true" ht="14.25" hidden="false" customHeight="false" outlineLevel="0" collapsed="false">
      <c r="R989" s="0"/>
      <c r="S989" s="0"/>
    </row>
    <row r="990" s="1" customFormat="true" ht="14.25" hidden="false" customHeight="false" outlineLevel="0" collapsed="false">
      <c r="R990" s="0"/>
      <c r="S990" s="0"/>
    </row>
    <row r="991" s="1" customFormat="true" ht="14.25" hidden="false" customHeight="false" outlineLevel="0" collapsed="false">
      <c r="R991" s="0"/>
      <c r="S991" s="0"/>
    </row>
    <row r="992" s="1" customFormat="true" ht="14.25" hidden="false" customHeight="false" outlineLevel="0" collapsed="false">
      <c r="R992" s="0"/>
      <c r="S992" s="0"/>
    </row>
    <row r="993" s="1" customFormat="true" ht="14.25" hidden="false" customHeight="false" outlineLevel="0" collapsed="false">
      <c r="R993" s="0"/>
      <c r="S993" s="0"/>
    </row>
    <row r="994" s="1" customFormat="true" ht="14.25" hidden="false" customHeight="false" outlineLevel="0" collapsed="false">
      <c r="R994" s="0"/>
      <c r="S994" s="0"/>
    </row>
    <row r="995" s="1" customFormat="true" ht="14.25" hidden="false" customHeight="false" outlineLevel="0" collapsed="false">
      <c r="R995" s="0"/>
      <c r="S995" s="0"/>
    </row>
    <row r="996" s="1" customFormat="true" ht="14.25" hidden="false" customHeight="false" outlineLevel="0" collapsed="false">
      <c r="R996" s="0"/>
      <c r="S996" s="0"/>
    </row>
    <row r="997" s="1" customFormat="true" ht="14.25" hidden="false" customHeight="false" outlineLevel="0" collapsed="false">
      <c r="R997" s="0"/>
      <c r="S997" s="0"/>
    </row>
    <row r="998" s="1" customFormat="true" ht="14.25" hidden="false" customHeight="false" outlineLevel="0" collapsed="false">
      <c r="R998" s="0"/>
      <c r="S998" s="0"/>
    </row>
    <row r="999" s="1" customFormat="true" ht="14.25" hidden="false" customHeight="false" outlineLevel="0" collapsed="false">
      <c r="R999" s="0"/>
      <c r="S999" s="0"/>
    </row>
    <row r="1000" s="1" customFormat="true" ht="14.25" hidden="false" customHeight="false" outlineLevel="0" collapsed="false">
      <c r="R1000" s="0"/>
      <c r="S1000" s="0"/>
    </row>
    <row r="1001" s="1" customFormat="true" ht="14.25" hidden="false" customHeight="false" outlineLevel="0" collapsed="false">
      <c r="R1001" s="0"/>
      <c r="S1001" s="0"/>
    </row>
    <row r="1002" s="1" customFormat="true" ht="14.25" hidden="false" customHeight="false" outlineLevel="0" collapsed="false">
      <c r="R1002" s="0"/>
      <c r="S1002" s="0"/>
    </row>
  </sheetData>
  <conditionalFormatting sqref="G500001:L1048576">
    <cfRule type="duplicateValues" priority="2" aboveAverage="0" equalAverage="0" bottom="0" percent="0" rank="0" text="" dxfId="19"/>
  </conditionalFormatting>
  <conditionalFormatting sqref="G500001:L1048576">
    <cfRule type="duplicateValues" priority="3" aboveAverage="0" equalAverage="0" bottom="0" percent="0" rank="0" text="" dxfId="20"/>
  </conditionalFormatting>
  <conditionalFormatting sqref="G500001:L1048576">
    <cfRule type="duplicateValues" priority="4" aboveAverage="0" equalAverage="0" bottom="0" percent="0" rank="0" text="" dxfId="21"/>
  </conditionalFormatting>
  <conditionalFormatting sqref="G500001:L1048576">
    <cfRule type="duplicateValues" priority="5" aboveAverage="0" equalAverage="0" bottom="0" percent="0" rank="0" text="" dxfId="22"/>
  </conditionalFormatting>
  <conditionalFormatting sqref="G500001:L1048576">
    <cfRule type="duplicateValues" priority="6" aboveAverage="0" equalAverage="0" bottom="0" percent="0" rank="0" text="" dxfId="23"/>
    <cfRule type="duplicateValues" priority="7" aboveAverage="0" equalAverage="0" bottom="0" percent="0" rank="0" text="" dxfId="24"/>
  </conditionalFormatting>
  <conditionalFormatting sqref="G500001:L1048576">
    <cfRule type="duplicateValues" priority="8" aboveAverage="0" equalAverage="0" bottom="0" percent="0" rank="0" text="" dxfId="25"/>
  </conditionalFormatting>
  <conditionalFormatting sqref="G2:L2">
    <cfRule type="cellIs" priority="9" operator="between" aboveAverage="0" equalAverage="0" bottom="0" percent="0" rank="0" text="" dxfId="26">
      <formula>100</formula>
      <formula>150</formula>
    </cfRule>
  </conditionalFormatting>
  <conditionalFormatting sqref="G2:L2">
    <cfRule type="duplicateValues" priority="10" aboveAverage="0" equalAverage="0" bottom="0" percent="0" rank="0" text="" dxfId="27"/>
    <cfRule type="duplicateValues" priority="11" aboveAverage="0" equalAverage="0" bottom="0" percent="0" rank="0" text="" dxfId="28"/>
    <cfRule type="duplicateValues" priority="12" aboveAverage="0" equalAverage="0" bottom="0" percent="0" rank="0" text="" dxfId="29"/>
    <cfRule type="duplicateValues" priority="13" aboveAverage="0" equalAverage="0" bottom="0" percent="0" rank="0" text="" dxfId="30"/>
  </conditionalFormatting>
  <conditionalFormatting sqref="G2:L2">
    <cfRule type="duplicateValues" priority="14" aboveAverage="0" equalAverage="0" bottom="0" percent="0" rank="0" text="" dxfId="31"/>
    <cfRule type="duplicateValues" priority="15" aboveAverage="0" equalAverage="0" bottom="0" percent="0" rank="0" text="" dxfId="32"/>
    <cfRule type="duplicateValues" priority="16" aboveAverage="0" equalAverage="0" bottom="0" percent="0" rank="0" text="" dxfId="33"/>
    <cfRule type="duplicateValues" priority="17" aboveAverage="0" equalAverage="0" bottom="0" percent="0" rank="0" text="" dxfId="34"/>
    <cfRule type="duplicateValues" priority="18" aboveAverage="0" equalAverage="0" bottom="0" percent="0" rank="0" text="" dxfId="35"/>
    <cfRule type="duplicateValues" priority="19" aboveAverage="0" equalAverage="0" bottom="0" percent="0" rank="0" text="" dxfId="36"/>
    <cfRule type="duplicateValues" priority="20" aboveAverage="0" equalAverage="0" bottom="0" percent="0" rank="0" text="" dxfId="37"/>
  </conditionalFormatting>
  <conditionalFormatting sqref="G2:L2">
    <cfRule type="duplicateValues" priority="21" aboveAverage="0" equalAverage="0" bottom="0" percent="0" rank="0" text="" dxfId="38"/>
    <cfRule type="duplicateValues" priority="22" aboveAverage="0" equalAverage="0" bottom="0" percent="0" rank="0" text="" dxfId="39"/>
  </conditionalFormatting>
  <conditionalFormatting sqref="O2:P2">
    <cfRule type="cellIs" priority="23" operator="between" aboveAverage="0" equalAverage="0" bottom="0" percent="0" rank="0" text="" dxfId="40">
      <formula>100</formula>
      <formula>150</formula>
    </cfRule>
  </conditionalFormatting>
  <conditionalFormatting sqref="Q2">
    <cfRule type="cellIs" priority="24" operator="between" aboveAverage="0" equalAverage="0" bottom="0" percent="0" rank="0" text="" dxfId="41">
      <formula>100</formula>
      <formula>150</formula>
    </cfRule>
  </conditionalFormatting>
  <conditionalFormatting sqref="M2:N2">
    <cfRule type="cellIs" priority="25" operator="between" aboveAverage="0" equalAverage="0" bottom="0" percent="0" rank="0" text="" dxfId="42">
      <formula>100</formula>
      <formula>150</formula>
    </cfRule>
  </conditionalFormatting>
  <conditionalFormatting sqref="M2:N2">
    <cfRule type="duplicateValues" priority="26" aboveAverage="0" equalAverage="0" bottom="0" percent="0" rank="0" text="" dxfId="43"/>
    <cfRule type="duplicateValues" priority="27" aboveAverage="0" equalAverage="0" bottom="0" percent="0" rank="0" text="" dxfId="44"/>
    <cfRule type="duplicateValues" priority="28" aboveAverage="0" equalAverage="0" bottom="0" percent="0" rank="0" text="" dxfId="45"/>
    <cfRule type="duplicateValues" priority="29" aboveAverage="0" equalAverage="0" bottom="0" percent="0" rank="0" text="" dxfId="46"/>
  </conditionalFormatting>
  <conditionalFormatting sqref="M2:N2">
    <cfRule type="duplicateValues" priority="30" aboveAverage="0" equalAverage="0" bottom="0" percent="0" rank="0" text="" dxfId="47"/>
    <cfRule type="duplicateValues" priority="31" aboveAverage="0" equalAverage="0" bottom="0" percent="0" rank="0" text="" dxfId="48"/>
    <cfRule type="duplicateValues" priority="32" aboveAverage="0" equalAverage="0" bottom="0" percent="0" rank="0" text="" dxfId="49"/>
    <cfRule type="duplicateValues" priority="33" aboveAverage="0" equalAverage="0" bottom="0" percent="0" rank="0" text="" dxfId="50"/>
    <cfRule type="duplicateValues" priority="34" aboveAverage="0" equalAverage="0" bottom="0" percent="0" rank="0" text="" dxfId="51"/>
    <cfRule type="duplicateValues" priority="35" aboveAverage="0" equalAverage="0" bottom="0" percent="0" rank="0" text="" dxfId="52"/>
    <cfRule type="duplicateValues" priority="36" aboveAverage="0" equalAverage="0" bottom="0" percent="0" rank="0" text="" dxfId="53"/>
  </conditionalFormatting>
  <conditionalFormatting sqref="M2:N2">
    <cfRule type="duplicateValues" priority="37" aboveAverage="0" equalAverage="0" bottom="0" percent="0" rank="0" text="" dxfId="54"/>
    <cfRule type="duplicateValues" priority="38" aboveAverage="0" equalAverage="0" bottom="0" percent="0" rank="0" text="" dxfId="55"/>
  </conditionalFormatting>
  <conditionalFormatting sqref="O2:P2">
    <cfRule type="duplicateValues" priority="39" aboveAverage="0" equalAverage="0" bottom="0" percent="0" rank="0" text="" dxfId="56"/>
    <cfRule type="duplicateValues" priority="40" aboveAverage="0" equalAverage="0" bottom="0" percent="0" rank="0" text="" dxfId="57"/>
    <cfRule type="duplicateValues" priority="41" aboveAverage="0" equalAverage="0" bottom="0" percent="0" rank="0" text="" dxfId="58"/>
    <cfRule type="duplicateValues" priority="42" aboveAverage="0" equalAverage="0" bottom="0" percent="0" rank="0" text="" dxfId="59"/>
  </conditionalFormatting>
  <conditionalFormatting sqref="O2:P2">
    <cfRule type="duplicateValues" priority="43" aboveAverage="0" equalAverage="0" bottom="0" percent="0" rank="0" text="" dxfId="60"/>
    <cfRule type="duplicateValues" priority="44" aboveAverage="0" equalAverage="0" bottom="0" percent="0" rank="0" text="" dxfId="61"/>
    <cfRule type="duplicateValues" priority="45" aboveAverage="0" equalAverage="0" bottom="0" percent="0" rank="0" text="" dxfId="62"/>
    <cfRule type="duplicateValues" priority="46" aboveAverage="0" equalAverage="0" bottom="0" percent="0" rank="0" text="" dxfId="63"/>
    <cfRule type="duplicateValues" priority="47" aboveAverage="0" equalAverage="0" bottom="0" percent="0" rank="0" text="" dxfId="64"/>
    <cfRule type="duplicateValues" priority="48" aboveAverage="0" equalAverage="0" bottom="0" percent="0" rank="0" text="" dxfId="65"/>
    <cfRule type="duplicateValues" priority="49" aboveAverage="0" equalAverage="0" bottom="0" percent="0" rank="0" text="" dxfId="66"/>
  </conditionalFormatting>
  <conditionalFormatting sqref="O2:P2">
    <cfRule type="duplicateValues" priority="50" aboveAverage="0" equalAverage="0" bottom="0" percent="0" rank="0" text="" dxfId="67"/>
    <cfRule type="duplicateValues" priority="51" aboveAverage="0" equalAverage="0" bottom="0" percent="0" rank="0" text="" dxfId="68"/>
  </conditionalFormatting>
  <conditionalFormatting sqref="Q2">
    <cfRule type="duplicateValues" priority="52" aboveAverage="0" equalAverage="0" bottom="0" percent="0" rank="0" text="" dxfId="69"/>
    <cfRule type="duplicateValues" priority="53" aboveAverage="0" equalAverage="0" bottom="0" percent="0" rank="0" text="" dxfId="70"/>
    <cfRule type="duplicateValues" priority="54" aboveAverage="0" equalAverage="0" bottom="0" percent="0" rank="0" text="" dxfId="71"/>
    <cfRule type="duplicateValues" priority="55" aboveAverage="0" equalAverage="0" bottom="0" percent="0" rank="0" text="" dxfId="72"/>
  </conditionalFormatting>
  <conditionalFormatting sqref="Q2">
    <cfRule type="duplicateValues" priority="56" aboveAverage="0" equalAverage="0" bottom="0" percent="0" rank="0" text="" dxfId="73"/>
    <cfRule type="duplicateValues" priority="57" aboveAverage="0" equalAverage="0" bottom="0" percent="0" rank="0" text="" dxfId="74"/>
    <cfRule type="duplicateValues" priority="58" aboveAverage="0" equalAverage="0" bottom="0" percent="0" rank="0" text="" dxfId="75"/>
    <cfRule type="duplicateValues" priority="59" aboveAverage="0" equalAverage="0" bottom="0" percent="0" rank="0" text="" dxfId="76"/>
    <cfRule type="duplicateValues" priority="60" aboveAverage="0" equalAverage="0" bottom="0" percent="0" rank="0" text="" dxfId="77"/>
    <cfRule type="duplicateValues" priority="61" aboveAverage="0" equalAverage="0" bottom="0" percent="0" rank="0" text="" dxfId="78"/>
    <cfRule type="duplicateValues" priority="62" aboveAverage="0" equalAverage="0" bottom="0" percent="0" rank="0" text="" dxfId="79"/>
  </conditionalFormatting>
  <conditionalFormatting sqref="Q2">
    <cfRule type="duplicateValues" priority="63" aboveAverage="0" equalAverage="0" bottom="0" percent="0" rank="0" text="" dxfId="80"/>
    <cfRule type="duplicateValues" priority="64" aboveAverage="0" equalAverage="0" bottom="0" percent="0" rank="0" text="" dxfId="81"/>
  </conditionalFormatting>
  <conditionalFormatting sqref="G2:Q2">
    <cfRule type="duplicateValues" priority="65" aboveAverage="0" equalAverage="0" bottom="0" percent="0" rank="0" text="" dxfId="82"/>
    <cfRule type="duplicateValues" priority="66" aboveAverage="0" equalAverage="0" bottom="0" percent="0" rank="0" text="" dxfId="83"/>
    <cfRule type="duplicateValues" priority="67" aboveAverage="0" equalAverage="0" bottom="0" percent="0" rank="0" text="" dxfId="84"/>
    <cfRule type="duplicateValues" priority="68" aboveAverage="0" equalAverage="0" bottom="0" percent="0" rank="0" text="" dxfId="85"/>
    <cfRule type="duplicateValues" priority="69" aboveAverage="0" equalAverage="0" bottom="0" percent="0" rank="0" text="" dxfId="86"/>
    <cfRule type="duplicateValues" priority="70" aboveAverage="0" equalAverage="0" bottom="0" percent="0" rank="0" text="" dxfId="87"/>
    <cfRule type="duplicateValues" priority="71" aboveAverage="0" equalAverage="0" bottom="0" percent="0" rank="0" text="" dxfId="88"/>
    <cfRule type="duplicateValues" priority="72" aboveAverage="0" equalAverage="0" bottom="0" percent="0" rank="0" text="" dxfId="89"/>
    <cfRule type="duplicateValues" priority="73" aboveAverage="0" equalAverage="0" bottom="0" percent="0" rank="0" text="" dxfId="90"/>
    <cfRule type="duplicateValues" priority="74" aboveAverage="0" equalAverage="0" bottom="0" percent="0" rank="0" text="" dxfId="91"/>
  </conditionalFormatting>
  <conditionalFormatting sqref="G2:Q2">
    <cfRule type="duplicateValues" priority="75" aboveAverage="0" equalAverage="0" bottom="0" percent="0" rank="0" text="" dxfId="92"/>
  </conditionalFormatting>
  <conditionalFormatting sqref="G2:Q2">
    <cfRule type="duplicateValues" priority="76" aboveAverage="0" equalAverage="0" bottom="0" percent="0" rank="0" text="" dxfId="93"/>
  </conditionalFormatting>
  <conditionalFormatting sqref="G2:Q2">
    <cfRule type="duplicateValues" priority="77" aboveAverage="0" equalAverage="0" bottom="0" percent="0" rank="0" text="" dxfId="94"/>
    <cfRule type="duplicateValues" priority="78" aboveAverage="0" equalAverage="0" bottom="0" percent="0" rank="0" text="" dxfId="95"/>
    <cfRule type="duplicateValues" priority="79" aboveAverage="0" equalAverage="0" bottom="0" percent="0" rank="0" text="" dxfId="96"/>
  </conditionalFormatting>
  <conditionalFormatting sqref="G2:Q2">
    <cfRule type="duplicateValues" priority="80" aboveAverage="0" equalAverage="0" bottom="0" percent="0" rank="0" text="" dxfId="97"/>
  </conditionalFormatting>
  <conditionalFormatting sqref="G2:Q2">
    <cfRule type="duplicateValues" priority="81" aboveAverage="0" equalAverage="0" bottom="0" percent="0" rank="0" text="" dxfId="98"/>
  </conditionalFormatting>
  <conditionalFormatting sqref="G2:Q2">
    <cfRule type="duplicateValues" priority="82" aboveAverage="0" equalAverage="0" bottom="0" percent="0" rank="0" text="" dxfId="99"/>
  </conditionalFormatting>
  <conditionalFormatting sqref="G2:Q2">
    <cfRule type="duplicateValues" priority="83" aboveAverage="0" equalAverage="0" bottom="0" percent="0" rank="0" text="" dxfId="100"/>
  </conditionalFormatting>
  <conditionalFormatting sqref="G2:Q2">
    <cfRule type="duplicateValues" priority="84" aboveAverage="0" equalAverage="0" bottom="0" percent="0" rank="0" text="" dxfId="101"/>
  </conditionalFormatting>
  <conditionalFormatting sqref="G2:Q2">
    <cfRule type="duplicateValues" priority="85" aboveAverage="0" equalAverage="0" bottom="0" percent="0" rank="0" text="" dxfId="102"/>
  </conditionalFormatting>
  <conditionalFormatting sqref="G2:Q2">
    <cfRule type="duplicateValues" priority="86" aboveAverage="0" equalAverage="0" bottom="0" percent="0" rank="0" text="" dxfId="103"/>
    <cfRule type="duplicateValues" priority="87" aboveAverage="0" equalAverage="0" bottom="0" percent="0" rank="0" text="" dxfId="104"/>
    <cfRule type="duplicateValues" priority="88" aboveAverage="0" equalAverage="0" bottom="0" percent="0" rank="0" text="" dxfId="105"/>
    <cfRule type="duplicateValues" priority="89" aboveAverage="0" equalAverage="0" bottom="0" percent="0" rank="0" text="" dxfId="106"/>
  </conditionalFormatting>
  <conditionalFormatting sqref="G2:Q2">
    <cfRule type="duplicateValues" priority="90" aboveAverage="0" equalAverage="0" bottom="0" percent="0" rank="0" text="" dxfId="107"/>
  </conditionalFormatting>
  <conditionalFormatting sqref="G2:Q2">
    <cfRule type="duplicateValues" priority="91" aboveAverage="0" equalAverage="0" bottom="0" percent="0" rank="0" text="" dxfId="108"/>
  </conditionalFormatting>
  <conditionalFormatting sqref="G2:Q2">
    <cfRule type="duplicateValues" priority="92" aboveAverage="0" equalAverage="0" bottom="0" percent="0" rank="0" text="" dxfId="109"/>
  </conditionalFormatting>
  <conditionalFormatting sqref="G2:Q2">
    <cfRule type="duplicateValues" priority="93" aboveAverage="0" equalAverage="0" bottom="0" percent="0" rank="0" text="" dxfId="110"/>
  </conditionalFormatting>
  <conditionalFormatting sqref="G2:Q2">
    <cfRule type="duplicateValues" priority="94" aboveAverage="0" equalAverage="0" bottom="0" percent="0" rank="0" text="" dxfId="111"/>
  </conditionalFormatting>
  <conditionalFormatting sqref="G2:Q2">
    <cfRule type="duplicateValues" priority="95" aboveAverage="0" equalAverage="0" bottom="0" percent="0" rank="0" text="" dxfId="112"/>
  </conditionalFormatting>
  <conditionalFormatting sqref="G2:Q2">
    <cfRule type="duplicateValues" priority="96" aboveAverage="0" equalAverage="0" bottom="0" percent="0" rank="0" text="" dxfId="113"/>
  </conditionalFormatting>
  <conditionalFormatting sqref="G2:Q2">
    <cfRule type="duplicateValues" priority="97" aboveAverage="0" equalAverage="0" bottom="0" percent="0" rank="0" text="" dxfId="114"/>
  </conditionalFormatting>
  <conditionalFormatting sqref="G2:Q2">
    <cfRule type="duplicateValues" priority="98" aboveAverage="0" equalAverage="0" bottom="0" percent="0" rank="0" text="" dxfId="115"/>
  </conditionalFormatting>
  <conditionalFormatting sqref="G2:Q2">
    <cfRule type="duplicateValues" priority="99" aboveAverage="0" equalAverage="0" bottom="0" percent="0" rank="0" text="" dxfId="116"/>
  </conditionalFormatting>
  <conditionalFormatting sqref="G2:Q2">
    <cfRule type="duplicateValues" priority="100" aboveAverage="0" equalAverage="0" bottom="0" percent="0" rank="0" text="" dxfId="117"/>
  </conditionalFormatting>
  <conditionalFormatting sqref="G2:Q2">
    <cfRule type="duplicateValues" priority="101" aboveAverage="0" equalAverage="0" bottom="0" percent="0" rank="0" text="" dxfId="118"/>
  </conditionalFormatting>
  <conditionalFormatting sqref="G2:Q2">
    <cfRule type="duplicateValues" priority="102" aboveAverage="0" equalAverage="0" bottom="0" percent="0" rank="0" text="" dxfId="119"/>
  </conditionalFormatting>
  <conditionalFormatting sqref="G2:Q2">
    <cfRule type="duplicateValues" priority="103" aboveAverage="0" equalAverage="0" bottom="0" percent="0" rank="0" text="" dxfId="120"/>
  </conditionalFormatting>
  <conditionalFormatting sqref="G2:Q2">
    <cfRule type="duplicateValues" priority="104" aboveAverage="0" equalAverage="0" bottom="0" percent="0" rank="0" text="" dxfId="121"/>
  </conditionalFormatting>
  <conditionalFormatting sqref="G2:Q2">
    <cfRule type="duplicateValues" priority="105" aboveAverage="0" equalAverage="0" bottom="0" percent="0" rank="0" text="" dxfId="122"/>
    <cfRule type="duplicateValues" priority="106" aboveAverage="0" equalAverage="0" bottom="0" percent="0" rank="0" text="" dxfId="123"/>
  </conditionalFormatting>
  <conditionalFormatting sqref="G2:Q2">
    <cfRule type="duplicateValues" priority="107" aboveAverage="0" equalAverage="0" bottom="0" percent="0" rank="0" text="" dxfId="124"/>
    <cfRule type="duplicateValues" priority="108" aboveAverage="0" equalAverage="0" bottom="0" percent="0" rank="0" text="" dxfId="125"/>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M113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2" activeCellId="1" sqref="4:8 A2"/>
    </sheetView>
  </sheetViews>
  <sheetFormatPr defaultColWidth="8.54296875" defaultRowHeight="14.25" zeroHeight="false" outlineLevelRow="0" outlineLevelCol="0"/>
  <cols>
    <col collapsed="false" customWidth="true" hidden="false" outlineLevel="0" max="1" min="1" style="1" width="27.91"/>
    <col collapsed="false" customWidth="true" hidden="false" outlineLevel="0" max="2" min="2" style="1" width="41.18"/>
    <col collapsed="false" customWidth="true" hidden="false" outlineLevel="0" max="3" min="3" style="1" width="21.63"/>
    <col collapsed="false" customWidth="true" hidden="false" outlineLevel="0" max="4" min="4" style="1" width="27.36"/>
    <col collapsed="false" customWidth="true" hidden="false" outlineLevel="0" max="5" min="5" style="1" width="20.18"/>
    <col collapsed="false" customWidth="true" hidden="false" outlineLevel="0" max="6" min="6" style="1" width="23.28"/>
    <col collapsed="false" customWidth="true" hidden="false" outlineLevel="0" max="7" min="7" style="1" width="23.82"/>
    <col collapsed="false" customWidth="true" hidden="false" outlineLevel="0" max="8" min="8" style="1" width="22.91"/>
    <col collapsed="false" customWidth="true" hidden="false" outlineLevel="0" max="9" min="9" style="1" width="17.45"/>
    <col collapsed="false" customWidth="true" hidden="false" outlineLevel="0" max="10" min="10" style="1" width="21.28"/>
    <col collapsed="false" customWidth="true" hidden="false" outlineLevel="0" max="11" min="11" style="1" width="15.17"/>
    <col collapsed="false" customWidth="true" hidden="false" outlineLevel="0" max="12" min="12" style="1" width="49.17"/>
    <col collapsed="false" customWidth="true" hidden="false" outlineLevel="0" max="13" min="13" style="1" width="11.54"/>
  </cols>
  <sheetData>
    <row r="1" s="78" customFormat="true" ht="45" hidden="false" customHeight="true" outlineLevel="0" collapsed="false">
      <c r="A1" s="77"/>
      <c r="B1" s="77"/>
      <c r="C1" s="77"/>
      <c r="D1" s="77"/>
      <c r="E1" s="77"/>
      <c r="F1" s="77"/>
      <c r="G1" s="77"/>
      <c r="H1" s="77"/>
      <c r="I1" s="77"/>
      <c r="J1" s="77"/>
      <c r="K1" s="77"/>
      <c r="L1" s="77"/>
      <c r="M1" s="77"/>
    </row>
    <row r="2" s="77" customFormat="true" ht="23.25" hidden="false" customHeight="true" outlineLevel="0" collapsed="false">
      <c r="A2" s="79"/>
      <c r="B2" s="79"/>
      <c r="C2" s="79"/>
      <c r="D2" s="79"/>
      <c r="E2" s="79"/>
      <c r="F2" s="79"/>
      <c r="G2" s="79"/>
      <c r="H2" s="79"/>
      <c r="I2" s="79"/>
      <c r="J2" s="79"/>
      <c r="K2" s="79"/>
      <c r="L2" s="79"/>
      <c r="M2" s="79"/>
    </row>
    <row r="3" s="80" customFormat="true" ht="15" hidden="false" customHeight="false" outlineLevel="0" collapsed="false">
      <c r="A3" s="31" t="s">
        <v>306</v>
      </c>
      <c r="B3" s="31" t="s">
        <v>307</v>
      </c>
      <c r="C3" s="31" t="s">
        <v>308</v>
      </c>
      <c r="D3" s="31" t="s">
        <v>309</v>
      </c>
      <c r="E3" s="31" t="s">
        <v>310</v>
      </c>
      <c r="F3" s="31" t="s">
        <v>311</v>
      </c>
      <c r="G3" s="31" t="s">
        <v>312</v>
      </c>
      <c r="H3" s="31" t="s">
        <v>313</v>
      </c>
      <c r="I3" s="31" t="s">
        <v>314</v>
      </c>
      <c r="J3" s="31" t="s">
        <v>315</v>
      </c>
      <c r="K3" s="31" t="s">
        <v>316</v>
      </c>
      <c r="L3" s="31" t="s">
        <v>317</v>
      </c>
      <c r="M3" s="31" t="s">
        <v>318</v>
      </c>
    </row>
    <row r="4" customFormat="false" ht="15" hidden="false" customHeight="false" outlineLevel="0" collapsed="false">
      <c r="A4" s="81" t="n">
        <v>111172</v>
      </c>
      <c r="B4" s="81" t="n">
        <v>6740020445</v>
      </c>
      <c r="C4" s="81" t="s">
        <v>319</v>
      </c>
      <c r="D4" s="81" t="s">
        <v>320</v>
      </c>
      <c r="E4" s="81" t="s">
        <v>321</v>
      </c>
      <c r="F4" s="81" t="s">
        <v>321</v>
      </c>
      <c r="G4" s="81" t="s">
        <v>156</v>
      </c>
      <c r="H4" s="81" t="s">
        <v>322</v>
      </c>
      <c r="I4" s="81" t="s">
        <v>323</v>
      </c>
      <c r="J4" s="81" t="s">
        <v>324</v>
      </c>
      <c r="K4" s="81" t="s">
        <v>325</v>
      </c>
      <c r="L4" s="81" t="s">
        <v>326</v>
      </c>
      <c r="M4" s="82" t="s">
        <v>327</v>
      </c>
    </row>
    <row r="5" customFormat="false" ht="15" hidden="false" customHeight="false" outlineLevel="0" collapsed="false">
      <c r="A5" s="83" t="n">
        <v>111172</v>
      </c>
      <c r="B5" s="83" t="n">
        <v>6740020445</v>
      </c>
      <c r="C5" s="83" t="s">
        <v>319</v>
      </c>
      <c r="D5" s="83" t="s">
        <v>328</v>
      </c>
      <c r="E5" s="83" t="s">
        <v>321</v>
      </c>
      <c r="F5" s="83" t="s">
        <v>321</v>
      </c>
      <c r="G5" s="83" t="s">
        <v>156</v>
      </c>
      <c r="H5" s="83" t="s">
        <v>322</v>
      </c>
      <c r="I5" s="83" t="s">
        <v>323</v>
      </c>
      <c r="J5" s="83" t="s">
        <v>324</v>
      </c>
      <c r="K5" s="83" t="s">
        <v>325</v>
      </c>
      <c r="L5" s="83" t="s">
        <v>329</v>
      </c>
      <c r="M5" s="84" t="s">
        <v>327</v>
      </c>
    </row>
    <row r="6" customFormat="false" ht="15" hidden="false" customHeight="false" outlineLevel="0" collapsed="false">
      <c r="A6" s="81" t="n">
        <v>111172</v>
      </c>
      <c r="B6" s="81" t="n">
        <v>6740020445</v>
      </c>
      <c r="C6" s="81" t="s">
        <v>319</v>
      </c>
      <c r="D6" s="81" t="s">
        <v>330</v>
      </c>
      <c r="E6" s="81" t="s">
        <v>321</v>
      </c>
      <c r="F6" s="81" t="s">
        <v>321</v>
      </c>
      <c r="G6" s="81" t="s">
        <v>156</v>
      </c>
      <c r="H6" s="81" t="s">
        <v>322</v>
      </c>
      <c r="I6" s="81" t="s">
        <v>323</v>
      </c>
      <c r="J6" s="81" t="s">
        <v>324</v>
      </c>
      <c r="K6" s="81" t="s">
        <v>325</v>
      </c>
      <c r="L6" s="81" t="s">
        <v>331</v>
      </c>
      <c r="M6" s="82" t="s">
        <v>327</v>
      </c>
    </row>
    <row r="7" customFormat="false" ht="15" hidden="false" customHeight="false" outlineLevel="0" collapsed="false">
      <c r="A7" s="83" t="n">
        <v>111172</v>
      </c>
      <c r="B7" s="83" t="n">
        <v>6740020445</v>
      </c>
      <c r="C7" s="83" t="s">
        <v>319</v>
      </c>
      <c r="D7" s="83" t="s">
        <v>332</v>
      </c>
      <c r="E7" s="83" t="s">
        <v>321</v>
      </c>
      <c r="F7" s="83" t="s">
        <v>321</v>
      </c>
      <c r="G7" s="83" t="s">
        <v>156</v>
      </c>
      <c r="H7" s="83" t="s">
        <v>322</v>
      </c>
      <c r="I7" s="83" t="s">
        <v>323</v>
      </c>
      <c r="J7" s="83" t="s">
        <v>324</v>
      </c>
      <c r="K7" s="83" t="s">
        <v>325</v>
      </c>
      <c r="L7" s="83" t="s">
        <v>331</v>
      </c>
      <c r="M7" s="84" t="s">
        <v>327</v>
      </c>
    </row>
    <row r="8" customFormat="false" ht="15" hidden="false" customHeight="false" outlineLevel="0" collapsed="false">
      <c r="A8" s="81" t="n">
        <v>111172</v>
      </c>
      <c r="B8" s="81" t="n">
        <v>6740020445</v>
      </c>
      <c r="C8" s="81" t="s">
        <v>319</v>
      </c>
      <c r="D8" s="81" t="s">
        <v>333</v>
      </c>
      <c r="E8" s="81" t="s">
        <v>321</v>
      </c>
      <c r="F8" s="81" t="s">
        <v>321</v>
      </c>
      <c r="G8" s="81" t="s">
        <v>156</v>
      </c>
      <c r="H8" s="81" t="s">
        <v>322</v>
      </c>
      <c r="I8" s="81" t="s">
        <v>323</v>
      </c>
      <c r="J8" s="81" t="s">
        <v>324</v>
      </c>
      <c r="K8" s="81" t="s">
        <v>325</v>
      </c>
      <c r="L8" s="81" t="s">
        <v>334</v>
      </c>
      <c r="M8" s="82" t="s">
        <v>327</v>
      </c>
    </row>
    <row r="9" customFormat="false" ht="15" hidden="false" customHeight="false" outlineLevel="0" collapsed="false">
      <c r="A9" s="83" t="n">
        <v>111172</v>
      </c>
      <c r="B9" s="83" t="n">
        <v>6740020445</v>
      </c>
      <c r="C9" s="83" t="s">
        <v>319</v>
      </c>
      <c r="D9" s="83" t="s">
        <v>335</v>
      </c>
      <c r="E9" s="83" t="s">
        <v>321</v>
      </c>
      <c r="F9" s="83" t="s">
        <v>321</v>
      </c>
      <c r="G9" s="83" t="s">
        <v>156</v>
      </c>
      <c r="H9" s="83" t="s">
        <v>322</v>
      </c>
      <c r="I9" s="83" t="s">
        <v>323</v>
      </c>
      <c r="J9" s="83" t="s">
        <v>324</v>
      </c>
      <c r="K9" s="83" t="s">
        <v>325</v>
      </c>
      <c r="L9" s="83" t="s">
        <v>336</v>
      </c>
      <c r="M9" s="84" t="s">
        <v>327</v>
      </c>
    </row>
    <row r="10" customFormat="false" ht="15" hidden="false" customHeight="false" outlineLevel="0" collapsed="false">
      <c r="A10" s="81" t="n">
        <v>111172</v>
      </c>
      <c r="B10" s="81" t="n">
        <v>6740020445</v>
      </c>
      <c r="C10" s="81" t="s">
        <v>319</v>
      </c>
      <c r="D10" s="81" t="s">
        <v>337</v>
      </c>
      <c r="E10" s="81" t="s">
        <v>321</v>
      </c>
      <c r="F10" s="81" t="s">
        <v>321</v>
      </c>
      <c r="G10" s="81" t="s">
        <v>156</v>
      </c>
      <c r="H10" s="81" t="s">
        <v>322</v>
      </c>
      <c r="I10" s="81" t="s">
        <v>323</v>
      </c>
      <c r="J10" s="81" t="s">
        <v>324</v>
      </c>
      <c r="K10" s="81" t="s">
        <v>325</v>
      </c>
      <c r="L10" s="81" t="s">
        <v>336</v>
      </c>
      <c r="M10" s="82" t="s">
        <v>327</v>
      </c>
    </row>
    <row r="11" customFormat="false" ht="15" hidden="false" customHeight="false" outlineLevel="0" collapsed="false">
      <c r="A11" s="83" t="n">
        <v>111172</v>
      </c>
      <c r="B11" s="83" t="n">
        <v>6740020445</v>
      </c>
      <c r="C11" s="83" t="s">
        <v>319</v>
      </c>
      <c r="D11" s="83" t="s">
        <v>338</v>
      </c>
      <c r="E11" s="83" t="s">
        <v>321</v>
      </c>
      <c r="F11" s="83" t="s">
        <v>321</v>
      </c>
      <c r="G11" s="83" t="s">
        <v>156</v>
      </c>
      <c r="H11" s="83" t="s">
        <v>322</v>
      </c>
      <c r="I11" s="83" t="s">
        <v>323</v>
      </c>
      <c r="J11" s="83" t="s">
        <v>324</v>
      </c>
      <c r="K11" s="83" t="s">
        <v>325</v>
      </c>
      <c r="L11" s="83" t="s">
        <v>336</v>
      </c>
      <c r="M11" s="84" t="s">
        <v>327</v>
      </c>
    </row>
    <row r="12" customFormat="false" ht="15" hidden="false" customHeight="false" outlineLevel="0" collapsed="false">
      <c r="A12" s="81" t="n">
        <v>111172</v>
      </c>
      <c r="B12" s="81" t="n">
        <v>6740020445</v>
      </c>
      <c r="C12" s="81" t="s">
        <v>319</v>
      </c>
      <c r="D12" s="81" t="s">
        <v>339</v>
      </c>
      <c r="E12" s="81" t="s">
        <v>321</v>
      </c>
      <c r="F12" s="81" t="s">
        <v>321</v>
      </c>
      <c r="G12" s="81" t="s">
        <v>156</v>
      </c>
      <c r="H12" s="81" t="s">
        <v>322</v>
      </c>
      <c r="I12" s="81" t="s">
        <v>323</v>
      </c>
      <c r="J12" s="81" t="s">
        <v>324</v>
      </c>
      <c r="K12" s="81" t="s">
        <v>325</v>
      </c>
      <c r="L12" s="81" t="s">
        <v>336</v>
      </c>
      <c r="M12" s="82" t="s">
        <v>327</v>
      </c>
    </row>
    <row r="13" customFormat="false" ht="15" hidden="false" customHeight="false" outlineLevel="0" collapsed="false">
      <c r="A13" s="83" t="n">
        <v>111172</v>
      </c>
      <c r="B13" s="83" t="n">
        <v>6740020445</v>
      </c>
      <c r="C13" s="83" t="s">
        <v>319</v>
      </c>
      <c r="D13" s="83" t="s">
        <v>340</v>
      </c>
      <c r="E13" s="83" t="s">
        <v>321</v>
      </c>
      <c r="F13" s="83" t="s">
        <v>321</v>
      </c>
      <c r="G13" s="83" t="s">
        <v>156</v>
      </c>
      <c r="H13" s="83" t="s">
        <v>322</v>
      </c>
      <c r="I13" s="83" t="s">
        <v>323</v>
      </c>
      <c r="J13" s="83" t="s">
        <v>324</v>
      </c>
      <c r="K13" s="83" t="s">
        <v>325</v>
      </c>
      <c r="L13" s="83" t="s">
        <v>336</v>
      </c>
      <c r="M13" s="84" t="s">
        <v>327</v>
      </c>
    </row>
    <row r="14" customFormat="false" ht="15" hidden="false" customHeight="false" outlineLevel="0" collapsed="false">
      <c r="A14" s="81" t="n">
        <v>111172</v>
      </c>
      <c r="B14" s="81" t="n">
        <v>6740020445</v>
      </c>
      <c r="C14" s="81" t="s">
        <v>319</v>
      </c>
      <c r="D14" s="81" t="s">
        <v>341</v>
      </c>
      <c r="E14" s="81" t="s">
        <v>321</v>
      </c>
      <c r="F14" s="81" t="s">
        <v>321</v>
      </c>
      <c r="G14" s="81" t="s">
        <v>156</v>
      </c>
      <c r="H14" s="81" t="s">
        <v>322</v>
      </c>
      <c r="I14" s="81" t="s">
        <v>323</v>
      </c>
      <c r="J14" s="81" t="s">
        <v>324</v>
      </c>
      <c r="K14" s="81" t="s">
        <v>325</v>
      </c>
      <c r="L14" s="81" t="s">
        <v>336</v>
      </c>
      <c r="M14" s="82" t="s">
        <v>327</v>
      </c>
    </row>
    <row r="15" customFormat="false" ht="15" hidden="false" customHeight="false" outlineLevel="0" collapsed="false">
      <c r="A15" s="83" t="n">
        <v>111172</v>
      </c>
      <c r="B15" s="83" t="n">
        <v>6740020445</v>
      </c>
      <c r="C15" s="83" t="s">
        <v>319</v>
      </c>
      <c r="D15" s="83" t="s">
        <v>342</v>
      </c>
      <c r="E15" s="83" t="s">
        <v>321</v>
      </c>
      <c r="F15" s="83" t="s">
        <v>321</v>
      </c>
      <c r="G15" s="83" t="s">
        <v>156</v>
      </c>
      <c r="H15" s="83" t="s">
        <v>322</v>
      </c>
      <c r="I15" s="83" t="s">
        <v>323</v>
      </c>
      <c r="J15" s="83" t="s">
        <v>324</v>
      </c>
      <c r="K15" s="83" t="s">
        <v>325</v>
      </c>
      <c r="L15" s="83" t="s">
        <v>336</v>
      </c>
      <c r="M15" s="84" t="s">
        <v>327</v>
      </c>
    </row>
    <row r="16" customFormat="false" ht="15" hidden="false" customHeight="false" outlineLevel="0" collapsed="false">
      <c r="A16" s="81" t="n">
        <v>111172</v>
      </c>
      <c r="B16" s="81" t="n">
        <v>6740020445</v>
      </c>
      <c r="C16" s="81" t="s">
        <v>319</v>
      </c>
      <c r="D16" s="81" t="s">
        <v>343</v>
      </c>
      <c r="E16" s="81" t="s">
        <v>321</v>
      </c>
      <c r="F16" s="81" t="s">
        <v>321</v>
      </c>
      <c r="G16" s="81" t="s">
        <v>156</v>
      </c>
      <c r="H16" s="81" t="s">
        <v>322</v>
      </c>
      <c r="I16" s="81" t="s">
        <v>323</v>
      </c>
      <c r="J16" s="81" t="s">
        <v>324</v>
      </c>
      <c r="K16" s="81" t="s">
        <v>325</v>
      </c>
      <c r="L16" s="81" t="s">
        <v>336</v>
      </c>
      <c r="M16" s="82" t="s">
        <v>327</v>
      </c>
    </row>
    <row r="17" customFormat="false" ht="15" hidden="false" customHeight="false" outlineLevel="0" collapsed="false">
      <c r="A17" s="83" t="n">
        <v>111172</v>
      </c>
      <c r="B17" s="83" t="n">
        <v>6740020445</v>
      </c>
      <c r="C17" s="83" t="s">
        <v>319</v>
      </c>
      <c r="D17" s="83" t="s">
        <v>344</v>
      </c>
      <c r="E17" s="83" t="s">
        <v>321</v>
      </c>
      <c r="F17" s="83" t="s">
        <v>321</v>
      </c>
      <c r="G17" s="83" t="s">
        <v>156</v>
      </c>
      <c r="H17" s="83" t="s">
        <v>322</v>
      </c>
      <c r="I17" s="83" t="s">
        <v>323</v>
      </c>
      <c r="J17" s="83" t="s">
        <v>324</v>
      </c>
      <c r="K17" s="83" t="s">
        <v>325</v>
      </c>
      <c r="L17" s="83" t="s">
        <v>336</v>
      </c>
      <c r="M17" s="84" t="s">
        <v>327</v>
      </c>
    </row>
    <row r="18" customFormat="false" ht="15" hidden="false" customHeight="false" outlineLevel="0" collapsed="false">
      <c r="A18" s="81" t="n">
        <v>111172</v>
      </c>
      <c r="B18" s="81" t="n">
        <v>6740020445</v>
      </c>
      <c r="C18" s="81" t="s">
        <v>319</v>
      </c>
      <c r="D18" s="81" t="s">
        <v>345</v>
      </c>
      <c r="E18" s="81" t="s">
        <v>321</v>
      </c>
      <c r="F18" s="81" t="s">
        <v>321</v>
      </c>
      <c r="G18" s="81" t="s">
        <v>156</v>
      </c>
      <c r="H18" s="81" t="s">
        <v>322</v>
      </c>
      <c r="I18" s="81" t="s">
        <v>323</v>
      </c>
      <c r="J18" s="81" t="s">
        <v>324</v>
      </c>
      <c r="K18" s="81" t="s">
        <v>325</v>
      </c>
      <c r="L18" s="81" t="s">
        <v>336</v>
      </c>
      <c r="M18" s="82" t="s">
        <v>327</v>
      </c>
    </row>
    <row r="19" customFormat="false" ht="15" hidden="false" customHeight="false" outlineLevel="0" collapsed="false">
      <c r="A19" s="83" t="n">
        <v>111172</v>
      </c>
      <c r="B19" s="83" t="n">
        <v>6740020445</v>
      </c>
      <c r="C19" s="83" t="s">
        <v>319</v>
      </c>
      <c r="D19" s="83" t="s">
        <v>346</v>
      </c>
      <c r="E19" s="83" t="s">
        <v>321</v>
      </c>
      <c r="F19" s="83" t="s">
        <v>321</v>
      </c>
      <c r="G19" s="83" t="s">
        <v>156</v>
      </c>
      <c r="H19" s="83" t="s">
        <v>322</v>
      </c>
      <c r="I19" s="83" t="s">
        <v>323</v>
      </c>
      <c r="J19" s="83" t="s">
        <v>324</v>
      </c>
      <c r="K19" s="83" t="s">
        <v>325</v>
      </c>
      <c r="L19" s="83" t="s">
        <v>336</v>
      </c>
      <c r="M19" s="84" t="s">
        <v>327</v>
      </c>
    </row>
    <row r="20" customFormat="false" ht="15" hidden="false" customHeight="false" outlineLevel="0" collapsed="false">
      <c r="A20" s="81" t="n">
        <v>111172</v>
      </c>
      <c r="B20" s="81" t="n">
        <v>6740020445</v>
      </c>
      <c r="C20" s="81" t="s">
        <v>319</v>
      </c>
      <c r="D20" s="81" t="s">
        <v>347</v>
      </c>
      <c r="E20" s="81" t="s">
        <v>321</v>
      </c>
      <c r="F20" s="81" t="s">
        <v>321</v>
      </c>
      <c r="G20" s="81" t="s">
        <v>156</v>
      </c>
      <c r="H20" s="81" t="s">
        <v>322</v>
      </c>
      <c r="I20" s="81" t="s">
        <v>323</v>
      </c>
      <c r="J20" s="81" t="s">
        <v>324</v>
      </c>
      <c r="K20" s="81" t="s">
        <v>325</v>
      </c>
      <c r="L20" s="81" t="s">
        <v>336</v>
      </c>
      <c r="M20" s="82" t="s">
        <v>327</v>
      </c>
    </row>
    <row r="21" customFormat="false" ht="15" hidden="false" customHeight="false" outlineLevel="0" collapsed="false">
      <c r="A21" s="83" t="n">
        <v>111172</v>
      </c>
      <c r="B21" s="83" t="n">
        <v>6740020445</v>
      </c>
      <c r="C21" s="83" t="s">
        <v>319</v>
      </c>
      <c r="D21" s="83" t="s">
        <v>348</v>
      </c>
      <c r="E21" s="83" t="s">
        <v>321</v>
      </c>
      <c r="F21" s="83" t="s">
        <v>321</v>
      </c>
      <c r="G21" s="83" t="s">
        <v>156</v>
      </c>
      <c r="H21" s="83" t="s">
        <v>322</v>
      </c>
      <c r="I21" s="83" t="s">
        <v>323</v>
      </c>
      <c r="J21" s="83" t="s">
        <v>324</v>
      </c>
      <c r="K21" s="83" t="s">
        <v>325</v>
      </c>
      <c r="L21" s="83" t="s">
        <v>336</v>
      </c>
      <c r="M21" s="84" t="s">
        <v>327</v>
      </c>
    </row>
    <row r="22" customFormat="false" ht="15" hidden="false" customHeight="false" outlineLevel="0" collapsed="false">
      <c r="A22" s="81" t="n">
        <v>111172</v>
      </c>
      <c r="B22" s="81" t="n">
        <v>6740020445</v>
      </c>
      <c r="C22" s="81" t="s">
        <v>319</v>
      </c>
      <c r="D22" s="81" t="s">
        <v>349</v>
      </c>
      <c r="E22" s="81" t="s">
        <v>321</v>
      </c>
      <c r="F22" s="81" t="s">
        <v>321</v>
      </c>
      <c r="G22" s="81" t="s">
        <v>156</v>
      </c>
      <c r="H22" s="81" t="s">
        <v>322</v>
      </c>
      <c r="I22" s="81" t="s">
        <v>323</v>
      </c>
      <c r="J22" s="81" t="s">
        <v>324</v>
      </c>
      <c r="K22" s="81" t="s">
        <v>325</v>
      </c>
      <c r="L22" s="81" t="s">
        <v>336</v>
      </c>
      <c r="M22" s="82" t="s">
        <v>327</v>
      </c>
    </row>
    <row r="23" customFormat="false" ht="15" hidden="false" customHeight="false" outlineLevel="0" collapsed="false">
      <c r="A23" s="83" t="n">
        <v>111172</v>
      </c>
      <c r="B23" s="83" t="n">
        <v>6740020445</v>
      </c>
      <c r="C23" s="83" t="s">
        <v>319</v>
      </c>
      <c r="D23" s="83" t="s">
        <v>350</v>
      </c>
      <c r="E23" s="83" t="s">
        <v>321</v>
      </c>
      <c r="F23" s="83" t="s">
        <v>321</v>
      </c>
      <c r="G23" s="83" t="s">
        <v>156</v>
      </c>
      <c r="H23" s="83" t="s">
        <v>322</v>
      </c>
      <c r="I23" s="83" t="s">
        <v>323</v>
      </c>
      <c r="J23" s="83" t="s">
        <v>324</v>
      </c>
      <c r="K23" s="83" t="s">
        <v>325</v>
      </c>
      <c r="L23" s="83" t="s">
        <v>336</v>
      </c>
      <c r="M23" s="84" t="s">
        <v>327</v>
      </c>
    </row>
    <row r="24" customFormat="false" ht="15" hidden="false" customHeight="false" outlineLevel="0" collapsed="false">
      <c r="A24" s="81" t="n">
        <v>111172</v>
      </c>
      <c r="B24" s="81" t="n">
        <v>6740020445</v>
      </c>
      <c r="C24" s="81" t="s">
        <v>319</v>
      </c>
      <c r="D24" s="81" t="s">
        <v>351</v>
      </c>
      <c r="E24" s="81" t="s">
        <v>321</v>
      </c>
      <c r="F24" s="81" t="s">
        <v>321</v>
      </c>
      <c r="G24" s="81" t="s">
        <v>156</v>
      </c>
      <c r="H24" s="81" t="s">
        <v>322</v>
      </c>
      <c r="I24" s="81" t="s">
        <v>323</v>
      </c>
      <c r="J24" s="81" t="s">
        <v>324</v>
      </c>
      <c r="K24" s="81" t="s">
        <v>325</v>
      </c>
      <c r="L24" s="81" t="s">
        <v>336</v>
      </c>
      <c r="M24" s="82" t="s">
        <v>327</v>
      </c>
    </row>
    <row r="25" customFormat="false" ht="15" hidden="false" customHeight="false" outlineLevel="0" collapsed="false">
      <c r="A25" s="83" t="n">
        <v>111172</v>
      </c>
      <c r="B25" s="83" t="n">
        <v>6740020445</v>
      </c>
      <c r="C25" s="83" t="s">
        <v>319</v>
      </c>
      <c r="D25" s="83" t="s">
        <v>352</v>
      </c>
      <c r="E25" s="83" t="s">
        <v>321</v>
      </c>
      <c r="F25" s="83" t="s">
        <v>321</v>
      </c>
      <c r="G25" s="83" t="s">
        <v>156</v>
      </c>
      <c r="H25" s="83" t="s">
        <v>322</v>
      </c>
      <c r="I25" s="83" t="s">
        <v>323</v>
      </c>
      <c r="J25" s="83" t="s">
        <v>324</v>
      </c>
      <c r="K25" s="83" t="s">
        <v>325</v>
      </c>
      <c r="L25" s="83" t="s">
        <v>336</v>
      </c>
      <c r="M25" s="84" t="s">
        <v>327</v>
      </c>
    </row>
    <row r="26" customFormat="false" ht="15" hidden="false" customHeight="false" outlineLevel="0" collapsed="false">
      <c r="A26" s="81" t="n">
        <v>111172</v>
      </c>
      <c r="B26" s="81" t="n">
        <v>6740020445</v>
      </c>
      <c r="C26" s="81" t="s">
        <v>319</v>
      </c>
      <c r="D26" s="81" t="s">
        <v>353</v>
      </c>
      <c r="E26" s="81" t="s">
        <v>321</v>
      </c>
      <c r="F26" s="81" t="s">
        <v>321</v>
      </c>
      <c r="G26" s="81" t="s">
        <v>156</v>
      </c>
      <c r="H26" s="81" t="s">
        <v>322</v>
      </c>
      <c r="I26" s="81" t="s">
        <v>323</v>
      </c>
      <c r="J26" s="81" t="s">
        <v>324</v>
      </c>
      <c r="K26" s="81" t="s">
        <v>325</v>
      </c>
      <c r="L26" s="81" t="s">
        <v>336</v>
      </c>
      <c r="M26" s="82" t="s">
        <v>327</v>
      </c>
    </row>
    <row r="27" customFormat="false" ht="15" hidden="false" customHeight="false" outlineLevel="0" collapsed="false">
      <c r="A27" s="83" t="n">
        <v>111172</v>
      </c>
      <c r="B27" s="83" t="n">
        <v>6740020445</v>
      </c>
      <c r="C27" s="83" t="s">
        <v>319</v>
      </c>
      <c r="D27" s="83" t="s">
        <v>354</v>
      </c>
      <c r="E27" s="83" t="s">
        <v>321</v>
      </c>
      <c r="F27" s="83" t="s">
        <v>321</v>
      </c>
      <c r="G27" s="83" t="s">
        <v>156</v>
      </c>
      <c r="H27" s="83" t="s">
        <v>322</v>
      </c>
      <c r="I27" s="83" t="s">
        <v>323</v>
      </c>
      <c r="J27" s="83" t="s">
        <v>324</v>
      </c>
      <c r="K27" s="83" t="s">
        <v>325</v>
      </c>
      <c r="L27" s="83" t="s">
        <v>336</v>
      </c>
      <c r="M27" s="84" t="s">
        <v>327</v>
      </c>
    </row>
    <row r="28" customFormat="false" ht="15" hidden="false" customHeight="false" outlineLevel="0" collapsed="false">
      <c r="A28" s="81" t="n">
        <v>111172</v>
      </c>
      <c r="B28" s="81" t="n">
        <v>6740020445</v>
      </c>
      <c r="C28" s="81" t="s">
        <v>319</v>
      </c>
      <c r="D28" s="81" t="s">
        <v>355</v>
      </c>
      <c r="E28" s="81" t="s">
        <v>321</v>
      </c>
      <c r="F28" s="81" t="s">
        <v>321</v>
      </c>
      <c r="G28" s="81" t="s">
        <v>156</v>
      </c>
      <c r="H28" s="81" t="s">
        <v>322</v>
      </c>
      <c r="I28" s="81" t="s">
        <v>323</v>
      </c>
      <c r="J28" s="81" t="s">
        <v>324</v>
      </c>
      <c r="K28" s="81" t="s">
        <v>325</v>
      </c>
      <c r="L28" s="81" t="s">
        <v>336</v>
      </c>
      <c r="M28" s="82" t="s">
        <v>327</v>
      </c>
    </row>
    <row r="29" customFormat="false" ht="15" hidden="false" customHeight="false" outlineLevel="0" collapsed="false">
      <c r="A29" s="83" t="n">
        <v>111172</v>
      </c>
      <c r="B29" s="83" t="n">
        <v>6740020445</v>
      </c>
      <c r="C29" s="83" t="s">
        <v>319</v>
      </c>
      <c r="D29" s="83" t="s">
        <v>356</v>
      </c>
      <c r="E29" s="83" t="s">
        <v>321</v>
      </c>
      <c r="F29" s="83" t="s">
        <v>321</v>
      </c>
      <c r="G29" s="83" t="s">
        <v>156</v>
      </c>
      <c r="H29" s="83" t="s">
        <v>322</v>
      </c>
      <c r="I29" s="83" t="s">
        <v>323</v>
      </c>
      <c r="J29" s="83" t="s">
        <v>324</v>
      </c>
      <c r="K29" s="83" t="s">
        <v>325</v>
      </c>
      <c r="L29" s="83" t="s">
        <v>336</v>
      </c>
      <c r="M29" s="84" t="s">
        <v>327</v>
      </c>
    </row>
    <row r="30" customFormat="false" ht="15" hidden="false" customHeight="false" outlineLevel="0" collapsed="false">
      <c r="A30" s="81" t="n">
        <v>111172</v>
      </c>
      <c r="B30" s="81" t="n">
        <v>6740020445</v>
      </c>
      <c r="C30" s="81" t="s">
        <v>319</v>
      </c>
      <c r="D30" s="81" t="s">
        <v>357</v>
      </c>
      <c r="E30" s="81" t="s">
        <v>321</v>
      </c>
      <c r="F30" s="81" t="s">
        <v>321</v>
      </c>
      <c r="G30" s="81" t="s">
        <v>156</v>
      </c>
      <c r="H30" s="81" t="s">
        <v>322</v>
      </c>
      <c r="I30" s="81" t="s">
        <v>323</v>
      </c>
      <c r="J30" s="81" t="s">
        <v>324</v>
      </c>
      <c r="K30" s="81" t="s">
        <v>325</v>
      </c>
      <c r="L30" s="81" t="s">
        <v>336</v>
      </c>
      <c r="M30" s="82" t="s">
        <v>327</v>
      </c>
    </row>
    <row r="31" customFormat="false" ht="15" hidden="false" customHeight="false" outlineLevel="0" collapsed="false">
      <c r="A31" s="83" t="n">
        <v>111172</v>
      </c>
      <c r="B31" s="83" t="n">
        <v>6740020445</v>
      </c>
      <c r="C31" s="83" t="s">
        <v>319</v>
      </c>
      <c r="D31" s="83" t="s">
        <v>358</v>
      </c>
      <c r="E31" s="83" t="s">
        <v>321</v>
      </c>
      <c r="F31" s="83" t="s">
        <v>321</v>
      </c>
      <c r="G31" s="83" t="s">
        <v>156</v>
      </c>
      <c r="H31" s="83" t="s">
        <v>322</v>
      </c>
      <c r="I31" s="83" t="s">
        <v>323</v>
      </c>
      <c r="J31" s="83" t="s">
        <v>324</v>
      </c>
      <c r="K31" s="83" t="s">
        <v>325</v>
      </c>
      <c r="L31" s="85"/>
      <c r="M31" s="85"/>
    </row>
    <row r="1004" s="1" customFormat="true" ht="15" hidden="false" customHeight="false" outlineLevel="0" collapsed="false"/>
    <row r="1005" s="1" customFormat="true" ht="15" hidden="false" customHeight="false" outlineLevel="0" collapsed="false">
      <c r="A1005" s="86" t="s">
        <v>309</v>
      </c>
      <c r="B1005" s="87" t="s">
        <v>359</v>
      </c>
      <c r="D1005" s="88"/>
      <c r="E1005" s="88"/>
      <c r="F1005" s="88"/>
      <c r="G1005" s="88"/>
      <c r="H1005" s="88"/>
      <c r="I1005" s="88"/>
      <c r="J1005" s="88"/>
      <c r="K1005" s="88"/>
      <c r="L1005" s="88"/>
      <c r="M1005" s="89"/>
    </row>
    <row r="1006" customFormat="false" ht="14.25" hidden="false" customHeight="true" outlineLevel="0" collapsed="false">
      <c r="A1006" s="90" t="s">
        <v>337</v>
      </c>
      <c r="B1006" s="91"/>
    </row>
    <row r="1007" customFormat="false" ht="14.25" hidden="false" customHeight="true" outlineLevel="0" collapsed="false">
      <c r="A1007" s="92" t="s">
        <v>351</v>
      </c>
      <c r="B1007" s="93"/>
    </row>
    <row r="1008" customFormat="false" ht="14.25" hidden="false" customHeight="true" outlineLevel="0" collapsed="false">
      <c r="A1008" s="92" t="s">
        <v>355</v>
      </c>
      <c r="B1008" s="93"/>
    </row>
    <row r="1009" customFormat="false" ht="14.25" hidden="false" customHeight="true" outlineLevel="0" collapsed="false">
      <c r="A1009" s="92" t="s">
        <v>353</v>
      </c>
      <c r="B1009" s="93"/>
    </row>
    <row r="1010" customFormat="false" ht="14.25" hidden="false" customHeight="true" outlineLevel="0" collapsed="false">
      <c r="A1010" s="92" t="s">
        <v>347</v>
      </c>
      <c r="B1010" s="93"/>
    </row>
    <row r="1011" customFormat="false" ht="14.25" hidden="false" customHeight="true" outlineLevel="0" collapsed="false">
      <c r="A1011" s="92" t="s">
        <v>339</v>
      </c>
      <c r="B1011" s="93"/>
    </row>
    <row r="1012" customFormat="false" ht="14.25" hidden="false" customHeight="true" outlineLevel="0" collapsed="false">
      <c r="A1012" s="92" t="s">
        <v>340</v>
      </c>
      <c r="B1012" s="93"/>
    </row>
    <row r="1013" customFormat="false" ht="14.25" hidden="true" customHeight="true" outlineLevel="0" collapsed="false">
      <c r="A1013" s="92" t="s">
        <v>359</v>
      </c>
      <c r="B1013" s="93"/>
    </row>
    <row r="1014" customFormat="false" ht="14.25" hidden="false" customHeight="true" outlineLevel="0" collapsed="false">
      <c r="A1014" s="92" t="s">
        <v>328</v>
      </c>
      <c r="B1014" s="93"/>
    </row>
    <row r="1015" customFormat="false" ht="14.25" hidden="false" customHeight="true" outlineLevel="0" collapsed="false">
      <c r="A1015" s="92" t="s">
        <v>332</v>
      </c>
      <c r="B1015" s="93"/>
    </row>
    <row r="1016" customFormat="false" ht="14.25" hidden="false" customHeight="true" outlineLevel="0" collapsed="false">
      <c r="A1016" s="92" t="s">
        <v>344</v>
      </c>
      <c r="B1016" s="93"/>
    </row>
    <row r="1017" customFormat="false" ht="14.25" hidden="false" customHeight="true" outlineLevel="0" collapsed="false">
      <c r="A1017" s="92" t="s">
        <v>346</v>
      </c>
      <c r="B1017" s="93"/>
    </row>
    <row r="1018" customFormat="false" ht="14.25" hidden="false" customHeight="true" outlineLevel="0" collapsed="false">
      <c r="A1018" s="92" t="s">
        <v>354</v>
      </c>
      <c r="B1018" s="93"/>
    </row>
    <row r="1019" customFormat="false" ht="14.25" hidden="false" customHeight="true" outlineLevel="0" collapsed="false">
      <c r="A1019" s="92" t="s">
        <v>356</v>
      </c>
      <c r="B1019" s="93"/>
    </row>
    <row r="1020" customFormat="false" ht="14.25" hidden="false" customHeight="true" outlineLevel="0" collapsed="false">
      <c r="A1020" s="92" t="s">
        <v>352</v>
      </c>
      <c r="B1020" s="93"/>
    </row>
    <row r="1021" customFormat="false" ht="14.25" hidden="false" customHeight="true" outlineLevel="0" collapsed="false">
      <c r="A1021" s="92" t="s">
        <v>358</v>
      </c>
      <c r="B1021" s="93"/>
    </row>
    <row r="1022" customFormat="false" ht="14.25" hidden="false" customHeight="true" outlineLevel="0" collapsed="false">
      <c r="A1022" s="92" t="s">
        <v>341</v>
      </c>
      <c r="B1022" s="93"/>
    </row>
    <row r="1023" customFormat="false" ht="14.25" hidden="false" customHeight="true" outlineLevel="0" collapsed="false">
      <c r="A1023" s="92" t="s">
        <v>330</v>
      </c>
      <c r="B1023" s="93"/>
    </row>
    <row r="1024" customFormat="false" ht="14.25" hidden="false" customHeight="true" outlineLevel="0" collapsed="false">
      <c r="A1024" s="92" t="s">
        <v>342</v>
      </c>
      <c r="B1024" s="93"/>
    </row>
    <row r="1025" customFormat="false" ht="14.25" hidden="false" customHeight="true" outlineLevel="0" collapsed="false">
      <c r="A1025" s="92" t="s">
        <v>335</v>
      </c>
      <c r="B1025" s="93"/>
    </row>
    <row r="1026" customFormat="false" ht="14.25" hidden="false" customHeight="true" outlineLevel="0" collapsed="false">
      <c r="A1026" s="92" t="s">
        <v>345</v>
      </c>
      <c r="B1026" s="93"/>
    </row>
    <row r="1027" customFormat="false" ht="14.25" hidden="false" customHeight="true" outlineLevel="0" collapsed="false">
      <c r="A1027" s="92" t="s">
        <v>350</v>
      </c>
      <c r="B1027" s="93"/>
    </row>
    <row r="1028" customFormat="false" ht="14.25" hidden="true" customHeight="true" outlineLevel="0" collapsed="false">
      <c r="A1028" s="92" t="s">
        <v>343</v>
      </c>
      <c r="B1028" s="93"/>
    </row>
    <row r="1029" customFormat="false" ht="14.25" hidden="true" customHeight="true" outlineLevel="0" collapsed="false">
      <c r="A1029" s="92" t="s">
        <v>349</v>
      </c>
      <c r="B1029" s="93"/>
    </row>
    <row r="1030" customFormat="false" ht="14.25" hidden="true" customHeight="true" outlineLevel="0" collapsed="false">
      <c r="A1030" s="92" t="s">
        <v>338</v>
      </c>
      <c r="B1030" s="93"/>
    </row>
    <row r="1031" customFormat="false" ht="14.25" hidden="false" customHeight="true" outlineLevel="0" collapsed="false">
      <c r="A1031" s="92" t="s">
        <v>357</v>
      </c>
      <c r="B1031" s="93"/>
    </row>
    <row r="1032" customFormat="false" ht="14.25" hidden="false" customHeight="true" outlineLevel="0" collapsed="false">
      <c r="A1032" s="92" t="s">
        <v>348</v>
      </c>
      <c r="B1032" s="93"/>
    </row>
    <row r="1033" customFormat="false" ht="14.25" hidden="false" customHeight="true" outlineLevel="0" collapsed="false">
      <c r="A1033" s="92" t="s">
        <v>320</v>
      </c>
      <c r="B1033" s="93"/>
    </row>
    <row r="1034" customFormat="false" ht="14.25" hidden="true" customHeight="true" outlineLevel="0" collapsed="false">
      <c r="A1034" s="92" t="s">
        <v>333</v>
      </c>
      <c r="B1034" s="94"/>
    </row>
    <row r="1035" customFormat="false" ht="14.25" hidden="true" customHeight="true" outlineLevel="0" collapsed="false">
      <c r="A1035" s="95" t="s">
        <v>360</v>
      </c>
      <c r="B1035" s="96"/>
    </row>
    <row r="1036" customFormat="false" ht="14.25" hidden="true" customHeight="true" outlineLevel="0" collapsed="false">
      <c r="B1036" s="1" t="str">
        <f aca="false">_xlfn.IFNA(VLOOKUP(A1036,'GL''s Monitored'!$A$3:$B$1048576,2,0),"")</f>
        <v/>
      </c>
    </row>
    <row r="1037" customFormat="false" ht="14.25" hidden="true" customHeight="true" outlineLevel="0" collapsed="false">
      <c r="B1037" s="1" t="str">
        <f aca="false">_xlfn.IFNA(VLOOKUP(A1037,'GL''s Monitored'!$A$3:$B$1048576,2,0),"")</f>
        <v/>
      </c>
    </row>
    <row r="1038" customFormat="false" ht="14.25" hidden="true" customHeight="true" outlineLevel="0" collapsed="false">
      <c r="B1038" s="1" t="str">
        <f aca="false">_xlfn.IFNA(VLOOKUP(A1038,'GL''s Monitored'!$A$3:$B$1048576,2,0),"")</f>
        <v/>
      </c>
    </row>
    <row r="1039" customFormat="false" ht="14.25" hidden="true" customHeight="true" outlineLevel="0" collapsed="false">
      <c r="B1039" s="1" t="str">
        <f aca="false">_xlfn.IFNA(VLOOKUP(A1039,'GL''s Monitored'!$A$3:$B$1048576,2,0),"")</f>
        <v/>
      </c>
    </row>
    <row r="1040" customFormat="false" ht="14.25" hidden="true" customHeight="true" outlineLevel="0" collapsed="false">
      <c r="B1040" s="1" t="str">
        <f aca="false">_xlfn.IFNA(VLOOKUP(A1040,'GL''s Monitored'!$A$3:$B$1048576,2,0),"")</f>
        <v/>
      </c>
    </row>
    <row r="1041" customFormat="false" ht="14.25" hidden="true" customHeight="true" outlineLevel="0" collapsed="false">
      <c r="B1041" s="1" t="str">
        <f aca="false">_xlfn.IFNA(VLOOKUP(A1041,'GL''s Monitored'!$A$3:$B$1048576,2,0),"")</f>
        <v/>
      </c>
    </row>
    <row r="1042" customFormat="false" ht="14.25" hidden="true" customHeight="true" outlineLevel="0" collapsed="false">
      <c r="B1042" s="1" t="str">
        <f aca="false">_xlfn.IFNA(VLOOKUP(A1042,'GL''s Monitored'!$A$3:$B$1048576,2,0),"")</f>
        <v/>
      </c>
    </row>
    <row r="1043" customFormat="false" ht="14.25" hidden="true" customHeight="true" outlineLevel="0" collapsed="false">
      <c r="B1043" s="1" t="str">
        <f aca="false">_xlfn.IFNA(VLOOKUP(A1043,'GL''s Monitored'!$A$3:$B$1048576,2,0),"")</f>
        <v/>
      </c>
    </row>
    <row r="1044" customFormat="false" ht="14.25" hidden="true" customHeight="true" outlineLevel="0" collapsed="false">
      <c r="B1044" s="1" t="str">
        <f aca="false">_xlfn.IFNA(VLOOKUP(A1044,'GL''s Monitored'!$A$3:$B$1048576,2,0),"")</f>
        <v/>
      </c>
    </row>
    <row r="1045" customFormat="false" ht="14.25" hidden="true" customHeight="true" outlineLevel="0" collapsed="false">
      <c r="B1045" s="1" t="str">
        <f aca="false">_xlfn.IFNA(VLOOKUP(A1045,'GL''s Monitored'!$A$3:$B$1048576,2,0),"")</f>
        <v/>
      </c>
    </row>
    <row r="1046" customFormat="false" ht="14.25" hidden="true" customHeight="true" outlineLevel="0" collapsed="false">
      <c r="B1046" s="1" t="str">
        <f aca="false">_xlfn.IFNA(VLOOKUP(A1046,'GL''s Monitored'!$A$3:$B$1048576,2,0),"")</f>
        <v/>
      </c>
    </row>
    <row r="1047" customFormat="false" ht="14.25" hidden="true" customHeight="true" outlineLevel="0" collapsed="false">
      <c r="B1047" s="1" t="str">
        <f aca="false">_xlfn.IFNA(VLOOKUP(A1047,'GL''s Monitored'!$A$3:$B$1048576,2,0),"")</f>
        <v/>
      </c>
    </row>
    <row r="1048" customFormat="false" ht="14.25" hidden="true" customHeight="true" outlineLevel="0" collapsed="false">
      <c r="B1048" s="1" t="str">
        <f aca="false">_xlfn.IFNA(VLOOKUP(A1048,'GL''s Monitored'!$A$3:$B$1048576,2,0),"")</f>
        <v/>
      </c>
    </row>
    <row r="1049" customFormat="false" ht="14.25" hidden="true" customHeight="true" outlineLevel="0" collapsed="false">
      <c r="B1049" s="1" t="str">
        <f aca="false">_xlfn.IFNA(VLOOKUP(A1049,'GL''s Monitored'!$A$3:$B$1048576,2,0),"")</f>
        <v/>
      </c>
    </row>
    <row r="1050" customFormat="false" ht="14.25" hidden="true" customHeight="true" outlineLevel="0" collapsed="false">
      <c r="B1050" s="1" t="str">
        <f aca="false">_xlfn.IFNA(VLOOKUP(A1050,'GL''s Monitored'!$A$3:$B$1048576,2,0),"")</f>
        <v/>
      </c>
    </row>
    <row r="1051" customFormat="false" ht="14.25" hidden="true" customHeight="true" outlineLevel="0" collapsed="false">
      <c r="B1051" s="1" t="str">
        <f aca="false">_xlfn.IFNA(VLOOKUP(A1051,'GL''s Monitored'!$A$3:$B$1048576,2,0),"")</f>
        <v/>
      </c>
    </row>
    <row r="1052" customFormat="false" ht="14.25" hidden="true" customHeight="true" outlineLevel="0" collapsed="false">
      <c r="B1052" s="1" t="str">
        <f aca="false">_xlfn.IFNA(VLOOKUP(A1052,'GL''s Monitored'!$A$3:$B$1048576,2,0),"")</f>
        <v/>
      </c>
    </row>
    <row r="1053" customFormat="false" ht="14.25" hidden="true" customHeight="true" outlineLevel="0" collapsed="false">
      <c r="B1053" s="1" t="str">
        <f aca="false">_xlfn.IFNA(VLOOKUP(A1053,'GL''s Monitored'!$A$3:$B$1048576,2,0),"")</f>
        <v/>
      </c>
    </row>
    <row r="1054" customFormat="false" ht="14.25" hidden="true" customHeight="true" outlineLevel="0" collapsed="false">
      <c r="B1054" s="1" t="str">
        <f aca="false">_xlfn.IFNA(VLOOKUP(A1054,'GL''s Monitored'!$A$3:$B$1048576,2,0),"")</f>
        <v/>
      </c>
    </row>
    <row r="1055" customFormat="false" ht="14.25" hidden="true" customHeight="true" outlineLevel="0" collapsed="false">
      <c r="B1055" s="1" t="str">
        <f aca="false">_xlfn.IFNA(VLOOKUP(A1055,'GL''s Monitored'!$A$3:$B$1048576,2,0),"")</f>
        <v/>
      </c>
    </row>
    <row r="1056" customFormat="false" ht="14.25" hidden="true" customHeight="true" outlineLevel="0" collapsed="false">
      <c r="B1056" s="1" t="str">
        <f aca="false">_xlfn.IFNA(VLOOKUP(A1056,'GL''s Monitored'!$A$3:$B$1048576,2,0),"")</f>
        <v/>
      </c>
    </row>
    <row r="1057" customFormat="false" ht="14.25" hidden="true" customHeight="true" outlineLevel="0" collapsed="false">
      <c r="B1057" s="1" t="str">
        <f aca="false">_xlfn.IFNA(VLOOKUP(A1057,'GL''s Monitored'!$A$3:$B$1048576,2,0),"")</f>
        <v/>
      </c>
    </row>
    <row r="1058" customFormat="false" ht="14.25" hidden="true" customHeight="true" outlineLevel="0" collapsed="false">
      <c r="B1058" s="1" t="str">
        <f aca="false">_xlfn.IFNA(VLOOKUP(A1058,'GL''s Monitored'!$A$3:$B$1048576,2,0),"")</f>
        <v/>
      </c>
    </row>
    <row r="1059" customFormat="false" ht="14.25" hidden="true" customHeight="true" outlineLevel="0" collapsed="false">
      <c r="B1059" s="1" t="str">
        <f aca="false">_xlfn.IFNA(VLOOKUP(A1059,'GL''s Monitored'!$A$3:$B$1048576,2,0),"")</f>
        <v/>
      </c>
    </row>
    <row r="1060" customFormat="false" ht="14.25" hidden="true" customHeight="true" outlineLevel="0" collapsed="false">
      <c r="B1060" s="1" t="str">
        <f aca="false">_xlfn.IFNA(VLOOKUP(A1060,'GL''s Monitored'!$A$3:$B$1048576,2,0),"")</f>
        <v/>
      </c>
    </row>
    <row r="1061" customFormat="false" ht="14.25" hidden="true" customHeight="true" outlineLevel="0" collapsed="false">
      <c r="B1061" s="1" t="str">
        <f aca="false">_xlfn.IFNA(VLOOKUP(A1061,'GL''s Monitored'!$A$3:$B$1048576,2,0),"")</f>
        <v/>
      </c>
    </row>
    <row r="1062" customFormat="false" ht="14.25" hidden="true" customHeight="true" outlineLevel="0" collapsed="false">
      <c r="B1062" s="1" t="str">
        <f aca="false">_xlfn.IFNA(VLOOKUP(A1062,'GL''s Monitored'!$A$3:$B$1048576,2,0),"")</f>
        <v/>
      </c>
    </row>
    <row r="1063" customFormat="false" ht="14.25" hidden="true" customHeight="true" outlineLevel="0" collapsed="false">
      <c r="B1063" s="1" t="str">
        <f aca="false">_xlfn.IFNA(VLOOKUP(A1063,'GL''s Monitored'!$A$3:$B$1048576,2,0),"")</f>
        <v/>
      </c>
    </row>
    <row r="1064" customFormat="false" ht="14.25" hidden="true" customHeight="true" outlineLevel="0" collapsed="false">
      <c r="B1064" s="1" t="str">
        <f aca="false">_xlfn.IFNA(VLOOKUP(A1064,'GL''s Monitored'!$A$3:$B$1048576,2,0),"")</f>
        <v/>
      </c>
    </row>
    <row r="1065" customFormat="false" ht="14.25" hidden="true" customHeight="true" outlineLevel="0" collapsed="false">
      <c r="B1065" s="1" t="str">
        <f aca="false">_xlfn.IFNA(VLOOKUP(A1065,'GL''s Monitored'!$A$3:$B$1048576,2,0),"")</f>
        <v/>
      </c>
    </row>
    <row r="1066" customFormat="false" ht="14.25" hidden="true" customHeight="true" outlineLevel="0" collapsed="false">
      <c r="B1066" s="1" t="str">
        <f aca="false">_xlfn.IFNA(VLOOKUP(A1066,'GL''s Monitored'!$A$3:$B$1048576,2,0),"")</f>
        <v/>
      </c>
    </row>
    <row r="1067" customFormat="false" ht="14.25" hidden="true" customHeight="true" outlineLevel="0" collapsed="false">
      <c r="B1067" s="1" t="str">
        <f aca="false">_xlfn.IFNA(VLOOKUP(A1067,'GL''s Monitored'!$A$3:$B$1048576,2,0),"")</f>
        <v/>
      </c>
    </row>
    <row r="1068" customFormat="false" ht="14.25" hidden="true" customHeight="true" outlineLevel="0" collapsed="false">
      <c r="B1068" s="1" t="str">
        <f aca="false">_xlfn.IFNA(VLOOKUP(A1068,'GL''s Monitored'!$A$3:$B$1048576,2,0),"")</f>
        <v/>
      </c>
    </row>
    <row r="1069" customFormat="false" ht="14.25" hidden="true" customHeight="true" outlineLevel="0" collapsed="false">
      <c r="B1069" s="1" t="str">
        <f aca="false">_xlfn.IFNA(VLOOKUP(A1069,'GL''s Monitored'!$A$3:$B$1048576,2,0),"")</f>
        <v/>
      </c>
    </row>
    <row r="1070" customFormat="false" ht="14.25" hidden="true" customHeight="true" outlineLevel="0" collapsed="false">
      <c r="B1070" s="1" t="str">
        <f aca="false">_xlfn.IFNA(VLOOKUP(A1070,'GL''s Monitored'!$A$3:$B$1048576,2,0),"")</f>
        <v/>
      </c>
    </row>
    <row r="1071" customFormat="false" ht="14.25" hidden="true" customHeight="true" outlineLevel="0" collapsed="false">
      <c r="B1071" s="1" t="str">
        <f aca="false">_xlfn.IFNA(VLOOKUP(A1071,'GL''s Monitored'!$A$3:$B$1048576,2,0),"")</f>
        <v/>
      </c>
    </row>
    <row r="1072" customFormat="false" ht="14.25" hidden="true" customHeight="true" outlineLevel="0" collapsed="false">
      <c r="B1072" s="1" t="str">
        <f aca="false">_xlfn.IFNA(VLOOKUP(A1072,'GL''s Monitored'!$A$3:$B$1048576,2,0),"")</f>
        <v/>
      </c>
    </row>
    <row r="1073" customFormat="false" ht="14.25" hidden="true" customHeight="true" outlineLevel="0" collapsed="false">
      <c r="B1073" s="1" t="str">
        <f aca="false">_xlfn.IFNA(VLOOKUP(A1073,'GL''s Monitored'!$A$3:$B$1048576,2,0),"")</f>
        <v/>
      </c>
    </row>
    <row r="1074" customFormat="false" ht="14.25" hidden="true" customHeight="true" outlineLevel="0" collapsed="false">
      <c r="B1074" s="1" t="str">
        <f aca="false">_xlfn.IFNA(VLOOKUP(A1074,'GL''s Monitored'!$A$3:$B$1048576,2,0),"")</f>
        <v/>
      </c>
    </row>
    <row r="1075" customFormat="false" ht="14.25" hidden="true" customHeight="true" outlineLevel="0" collapsed="false">
      <c r="B1075" s="1" t="str">
        <f aca="false">_xlfn.IFNA(VLOOKUP(A1075,'GL''s Monitored'!$A$3:$B$1048576,2,0),"")</f>
        <v/>
      </c>
    </row>
    <row r="1076" customFormat="false" ht="14.25" hidden="true" customHeight="true" outlineLevel="0" collapsed="false">
      <c r="B1076" s="1" t="str">
        <f aca="false">_xlfn.IFNA(VLOOKUP(A1076,'GL''s Monitored'!$A$3:$B$1048576,2,0),"")</f>
        <v/>
      </c>
    </row>
    <row r="1077" customFormat="false" ht="14.25" hidden="true" customHeight="true" outlineLevel="0" collapsed="false">
      <c r="B1077" s="1" t="str">
        <f aca="false">_xlfn.IFNA(VLOOKUP(A1077,'GL''s Monitored'!$A$3:$B$1048576,2,0),"")</f>
        <v/>
      </c>
    </row>
    <row r="1078" customFormat="false" ht="14.25" hidden="true" customHeight="true" outlineLevel="0" collapsed="false">
      <c r="B1078" s="1" t="str">
        <f aca="false">_xlfn.IFNA(VLOOKUP(A1078,'GL''s Monitored'!$A$3:$B$1048576,2,0),"")</f>
        <v/>
      </c>
    </row>
    <row r="1079" customFormat="false" ht="14.25" hidden="true" customHeight="true" outlineLevel="0" collapsed="false">
      <c r="B1079" s="1" t="str">
        <f aca="false">_xlfn.IFNA(VLOOKUP(A1079,'GL''s Monitored'!$A$3:$B$1048576,2,0),"")</f>
        <v/>
      </c>
    </row>
    <row r="1080" customFormat="false" ht="14.25" hidden="true" customHeight="true" outlineLevel="0" collapsed="false">
      <c r="B1080" s="1" t="str">
        <f aca="false">_xlfn.IFNA(VLOOKUP(A1080,'GL''s Monitored'!$A$3:$B$1048576,2,0),"")</f>
        <v/>
      </c>
    </row>
    <row r="1081" customFormat="false" ht="14.25" hidden="true" customHeight="true" outlineLevel="0" collapsed="false">
      <c r="B1081" s="1" t="str">
        <f aca="false">_xlfn.IFNA(VLOOKUP(A1081,'GL''s Monitored'!$A$3:$B$1048576,2,0),"")</f>
        <v/>
      </c>
    </row>
    <row r="1082" customFormat="false" ht="14.25" hidden="true" customHeight="true" outlineLevel="0" collapsed="false">
      <c r="B1082" s="1" t="str">
        <f aca="false">_xlfn.IFNA(VLOOKUP(A1082,'GL''s Monitored'!$A$3:$B$1048576,2,0),"")</f>
        <v/>
      </c>
    </row>
    <row r="1083" customFormat="false" ht="14.25" hidden="true" customHeight="true" outlineLevel="0" collapsed="false">
      <c r="B1083" s="1" t="str">
        <f aca="false">_xlfn.IFNA(VLOOKUP(A1083,'GL''s Monitored'!$A$3:$B$1048576,2,0),"")</f>
        <v/>
      </c>
    </row>
    <row r="1084" customFormat="false" ht="14.25" hidden="true" customHeight="true" outlineLevel="0" collapsed="false">
      <c r="B1084" s="1" t="str">
        <f aca="false">_xlfn.IFNA(VLOOKUP(A1084,'GL''s Monitored'!$A$3:$B$1048576,2,0),"")</f>
        <v/>
      </c>
    </row>
    <row r="1085" customFormat="false" ht="14.25" hidden="true" customHeight="true" outlineLevel="0" collapsed="false">
      <c r="B1085" s="1" t="str">
        <f aca="false">_xlfn.IFNA(VLOOKUP(A1085,'GL''s Monitored'!$A$3:$B$1048576,2,0),"")</f>
        <v/>
      </c>
    </row>
    <row r="1086" customFormat="false" ht="14.25" hidden="true" customHeight="true" outlineLevel="0" collapsed="false">
      <c r="B1086" s="1" t="str">
        <f aca="false">_xlfn.IFNA(VLOOKUP(A1086,'GL''s Monitored'!$A$3:$B$1048576,2,0),"")</f>
        <v/>
      </c>
    </row>
    <row r="1087" customFormat="false" ht="14.25" hidden="true" customHeight="true" outlineLevel="0" collapsed="false">
      <c r="B1087" s="1" t="str">
        <f aca="false">_xlfn.IFNA(VLOOKUP(A1087,'GL''s Monitored'!$A$3:$B$1048576,2,0),"")</f>
        <v/>
      </c>
    </row>
    <row r="1088" customFormat="false" ht="14.25" hidden="true" customHeight="true" outlineLevel="0" collapsed="false">
      <c r="B1088" s="1" t="str">
        <f aca="false">_xlfn.IFNA(VLOOKUP(A1088,'GL''s Monitored'!$A$3:$B$1048576,2,0),"")</f>
        <v/>
      </c>
    </row>
    <row r="1089" customFormat="false" ht="14.25" hidden="true" customHeight="true" outlineLevel="0" collapsed="false">
      <c r="B1089" s="1" t="str">
        <f aca="false">_xlfn.IFNA(VLOOKUP(A1089,'GL''s Monitored'!$A$3:$B$1048576,2,0),"")</f>
        <v/>
      </c>
    </row>
    <row r="1090" customFormat="false" ht="14.25" hidden="true" customHeight="true" outlineLevel="0" collapsed="false">
      <c r="B1090" s="1" t="str">
        <f aca="false">_xlfn.IFNA(VLOOKUP(A1090,'GL''s Monitored'!$A$3:$B$1048576,2,0),"")</f>
        <v/>
      </c>
    </row>
    <row r="1091" customFormat="false" ht="14.25" hidden="true" customHeight="true" outlineLevel="0" collapsed="false">
      <c r="B1091" s="1" t="str">
        <f aca="false">_xlfn.IFNA(VLOOKUP(A1091,'GL''s Monitored'!$A$3:$B$1048576,2,0),"")</f>
        <v/>
      </c>
    </row>
    <row r="1092" customFormat="false" ht="14.25" hidden="true" customHeight="true" outlineLevel="0" collapsed="false">
      <c r="B1092" s="1" t="str">
        <f aca="false">_xlfn.IFNA(VLOOKUP(A1092,'GL''s Monitored'!$A$3:$B$1048576,2,0),"")</f>
        <v/>
      </c>
    </row>
    <row r="1093" customFormat="false" ht="14.25" hidden="true" customHeight="true" outlineLevel="0" collapsed="false">
      <c r="B1093" s="1" t="str">
        <f aca="false">_xlfn.IFNA(VLOOKUP(A1093,'GL''s Monitored'!$A$3:$B$1048576,2,0),"")</f>
        <v/>
      </c>
    </row>
    <row r="1094" customFormat="false" ht="14.25" hidden="true" customHeight="true" outlineLevel="0" collapsed="false">
      <c r="B1094" s="1" t="str">
        <f aca="false">_xlfn.IFNA(VLOOKUP(A1094,'GL''s Monitored'!$A$3:$B$1048576,2,0),"")</f>
        <v/>
      </c>
    </row>
    <row r="1095" customFormat="false" ht="14.25" hidden="true" customHeight="true" outlineLevel="0" collapsed="false">
      <c r="B1095" s="1" t="str">
        <f aca="false">_xlfn.IFNA(VLOOKUP(A1095,'GL''s Monitored'!$A$3:$B$1048576,2,0),"")</f>
        <v/>
      </c>
    </row>
    <row r="1096" customFormat="false" ht="14.25" hidden="true" customHeight="true" outlineLevel="0" collapsed="false">
      <c r="B1096" s="1" t="str">
        <f aca="false">_xlfn.IFNA(VLOOKUP(A1096,'GL''s Monitored'!$A$3:$B$1048576,2,0),"")</f>
        <v/>
      </c>
    </row>
    <row r="1097" customFormat="false" ht="14.25" hidden="true" customHeight="true" outlineLevel="0" collapsed="false">
      <c r="B1097" s="1" t="str">
        <f aca="false">_xlfn.IFNA(VLOOKUP(A1097,'GL''s Monitored'!$A$3:$B$1048576,2,0),"")</f>
        <v/>
      </c>
    </row>
    <row r="1098" customFormat="false" ht="14.25" hidden="true" customHeight="true" outlineLevel="0" collapsed="false">
      <c r="B1098" s="1" t="str">
        <f aca="false">_xlfn.IFNA(VLOOKUP(A1098,'GL''s Monitored'!$A$3:$B$1048576,2,0),"")</f>
        <v/>
      </c>
    </row>
    <row r="1099" customFormat="false" ht="14.25" hidden="true" customHeight="true" outlineLevel="0" collapsed="false">
      <c r="B1099" s="1" t="str">
        <f aca="false">_xlfn.IFNA(VLOOKUP(A1099,'GL''s Monitored'!$A$3:$B$1048576,2,0),"")</f>
        <v/>
      </c>
    </row>
    <row r="1100" customFormat="false" ht="14.25" hidden="true" customHeight="true" outlineLevel="0" collapsed="false">
      <c r="B1100" s="1" t="str">
        <f aca="false">_xlfn.IFNA(VLOOKUP(A1100,'GL''s Monitored'!$A$3:$B$1048576,2,0),"")</f>
        <v/>
      </c>
    </row>
    <row r="1101" customFormat="false" ht="14.25" hidden="true" customHeight="true" outlineLevel="0" collapsed="false">
      <c r="B1101" s="1" t="str">
        <f aca="false">_xlfn.IFNA(VLOOKUP(A1101,'GL''s Monitored'!$A$3:$B$1048576,2,0),"")</f>
        <v/>
      </c>
    </row>
    <row r="1102" customFormat="false" ht="14.25" hidden="true" customHeight="true" outlineLevel="0" collapsed="false">
      <c r="B1102" s="1" t="str">
        <f aca="false">_xlfn.IFNA(VLOOKUP(A1102,'GL''s Monitored'!$A$3:$B$1048576,2,0),"")</f>
        <v/>
      </c>
    </row>
    <row r="1103" customFormat="false" ht="14.25" hidden="true" customHeight="true" outlineLevel="0" collapsed="false">
      <c r="B1103" s="1" t="str">
        <f aca="false">_xlfn.IFNA(VLOOKUP(A1103,'GL''s Monitored'!$A$3:$B$1048576,2,0),"")</f>
        <v/>
      </c>
    </row>
    <row r="1104" customFormat="false" ht="14.25" hidden="true" customHeight="true" outlineLevel="0" collapsed="false">
      <c r="B1104" s="1" t="str">
        <f aca="false">_xlfn.IFNA(VLOOKUP(A1104,'GL''s Monitored'!$A$3:$B$1048576,2,0),"")</f>
        <v/>
      </c>
    </row>
    <row r="1105" customFormat="false" ht="14.25" hidden="true" customHeight="true" outlineLevel="0" collapsed="false">
      <c r="B1105" s="1" t="str">
        <f aca="false">_xlfn.IFNA(VLOOKUP(A1105,'GL''s Monitored'!$A$3:$B$1048576,2,0),"")</f>
        <v/>
      </c>
    </row>
    <row r="1106" customFormat="false" ht="14.25" hidden="true" customHeight="true" outlineLevel="0" collapsed="false">
      <c r="B1106" s="1" t="str">
        <f aca="false">_xlfn.IFNA(VLOOKUP(A1106,'GL''s Monitored'!$A$3:$B$1048576,2,0),"")</f>
        <v/>
      </c>
    </row>
    <row r="1107" customFormat="false" ht="14.25" hidden="true" customHeight="true" outlineLevel="0" collapsed="false">
      <c r="B1107" s="1" t="str">
        <f aca="false">_xlfn.IFNA(VLOOKUP(A1107,'GL''s Monitored'!$A$3:$B$1048576,2,0),"")</f>
        <v/>
      </c>
    </row>
    <row r="1108" customFormat="false" ht="14.25" hidden="true" customHeight="true" outlineLevel="0" collapsed="false">
      <c r="B1108" s="1" t="str">
        <f aca="false">_xlfn.IFNA(VLOOKUP(A1108,'GL''s Monitored'!$A$3:$B$1048576,2,0),"")</f>
        <v/>
      </c>
    </row>
    <row r="1109" customFormat="false" ht="14.25" hidden="true" customHeight="true" outlineLevel="0" collapsed="false">
      <c r="B1109" s="1" t="str">
        <f aca="false">_xlfn.IFNA(VLOOKUP(A1109,'GL''s Monitored'!$A$3:$B$1048576,2,0),"")</f>
        <v/>
      </c>
    </row>
    <row r="1110" customFormat="false" ht="14.25" hidden="true" customHeight="true" outlineLevel="0" collapsed="false">
      <c r="B1110" s="1" t="str">
        <f aca="false">_xlfn.IFNA(VLOOKUP(A1110,'GL''s Monitored'!$A$3:$B$1048576,2,0),"")</f>
        <v/>
      </c>
    </row>
    <row r="1111" customFormat="false" ht="14.25" hidden="true" customHeight="true" outlineLevel="0" collapsed="false">
      <c r="B1111" s="1" t="str">
        <f aca="false">_xlfn.IFNA(VLOOKUP(A1111,'GL''s Monitored'!$A$3:$B$1048576,2,0),"")</f>
        <v/>
      </c>
    </row>
    <row r="1112" customFormat="false" ht="14.25" hidden="true" customHeight="true" outlineLevel="0" collapsed="false">
      <c r="B1112" s="1" t="str">
        <f aca="false">_xlfn.IFNA(VLOOKUP(A1112,'GL''s Monitored'!$A$3:$B$1048576,2,0),"")</f>
        <v/>
      </c>
    </row>
    <row r="1113" customFormat="false" ht="14.25" hidden="true" customHeight="true" outlineLevel="0" collapsed="false">
      <c r="B1113" s="1" t="str">
        <f aca="false">_xlfn.IFNA(VLOOKUP(A1113,'GL''s Monitored'!$A$3:$B$1048576,2,0),"")</f>
        <v/>
      </c>
    </row>
    <row r="1114" customFormat="false" ht="14.25" hidden="true" customHeight="true" outlineLevel="0" collapsed="false">
      <c r="B1114" s="1" t="str">
        <f aca="false">_xlfn.IFNA(VLOOKUP(A1114,'GL''s Monitored'!$A$3:$B$1048576,2,0),"")</f>
        <v/>
      </c>
    </row>
    <row r="1115" customFormat="false" ht="14.25" hidden="true" customHeight="true" outlineLevel="0" collapsed="false">
      <c r="B1115" s="1" t="str">
        <f aca="false">_xlfn.IFNA(VLOOKUP(A1115,'GL''s Monitored'!$A$3:$B$1048576,2,0),"")</f>
        <v/>
      </c>
    </row>
    <row r="1116" customFormat="false" ht="14.25" hidden="true" customHeight="true" outlineLevel="0" collapsed="false">
      <c r="B1116" s="1" t="str">
        <f aca="false">_xlfn.IFNA(VLOOKUP(A1116,'GL''s Monitored'!$A$3:$B$1048576,2,0),"")</f>
        <v/>
      </c>
    </row>
    <row r="1117" customFormat="false" ht="14.25" hidden="true" customHeight="true" outlineLevel="0" collapsed="false">
      <c r="B1117" s="1" t="str">
        <f aca="false">_xlfn.IFNA(VLOOKUP(A1117,'GL''s Monitored'!$A$3:$B$1048576,2,0),"")</f>
        <v/>
      </c>
    </row>
    <row r="1118" customFormat="false" ht="14.25" hidden="true" customHeight="true" outlineLevel="0" collapsed="false">
      <c r="B1118" s="1" t="str">
        <f aca="false">_xlfn.IFNA(VLOOKUP(A1118,'GL''s Monitored'!$A$3:$B$1048576,2,0),"")</f>
        <v/>
      </c>
    </row>
    <row r="1119" customFormat="false" ht="14.25" hidden="true" customHeight="true" outlineLevel="0" collapsed="false">
      <c r="B1119" s="1" t="str">
        <f aca="false">_xlfn.IFNA(VLOOKUP(A1119,'GL''s Monitored'!$A$3:$B$1048576,2,0),"")</f>
        <v/>
      </c>
    </row>
    <row r="1120" customFormat="false" ht="14.25" hidden="true" customHeight="true" outlineLevel="0" collapsed="false">
      <c r="B1120" s="1" t="str">
        <f aca="false">_xlfn.IFNA(VLOOKUP(A1120,'GL''s Monitored'!$A$3:$B$1048576,2,0),"")</f>
        <v/>
      </c>
    </row>
    <row r="1121" customFormat="false" ht="14.25" hidden="true" customHeight="true" outlineLevel="0" collapsed="false">
      <c r="B1121" s="1" t="str">
        <f aca="false">_xlfn.IFNA(VLOOKUP(A1121,'GL''s Monitored'!$A$3:$B$1048576,2,0),"")</f>
        <v/>
      </c>
    </row>
    <row r="1122" customFormat="false" ht="14.25" hidden="true" customHeight="true" outlineLevel="0" collapsed="false">
      <c r="B1122" s="1" t="str">
        <f aca="false">_xlfn.IFNA(VLOOKUP(A1122,'GL''s Monitored'!$A$3:$B$1048576,2,0),"")</f>
        <v/>
      </c>
    </row>
    <row r="1123" customFormat="false" ht="14.25" hidden="true" customHeight="true" outlineLevel="0" collapsed="false">
      <c r="B1123" s="1" t="str">
        <f aca="false">_xlfn.IFNA(VLOOKUP(A1123,'GL''s Monitored'!$A$3:$B$1048576,2,0),"")</f>
        <v/>
      </c>
    </row>
    <row r="1124" customFormat="false" ht="14.25" hidden="true" customHeight="true" outlineLevel="0" collapsed="false">
      <c r="B1124" s="1" t="str">
        <f aca="false">_xlfn.IFNA(VLOOKUP(A1124,'GL''s Monitored'!$A$3:$B$1048576,2,0),"")</f>
        <v/>
      </c>
    </row>
    <row r="1125" customFormat="false" ht="14.25" hidden="true" customHeight="true" outlineLevel="0" collapsed="false">
      <c r="B1125" s="1" t="str">
        <f aca="false">_xlfn.IFNA(VLOOKUP(A1125,'GL''s Monitored'!$A$3:$B$1048576,2,0),"")</f>
        <v/>
      </c>
    </row>
    <row r="1126" customFormat="false" ht="14.25" hidden="true" customHeight="true" outlineLevel="0" collapsed="false">
      <c r="B1126" s="1" t="str">
        <f aca="false">_xlfn.IFNA(VLOOKUP(A1126,'GL''s Monitored'!$A$3:$B$1048576,2,0),"")</f>
        <v/>
      </c>
    </row>
    <row r="1127" customFormat="false" ht="14.25" hidden="true" customHeight="true" outlineLevel="0" collapsed="false">
      <c r="B1127" s="1" t="str">
        <f aca="false">_xlfn.IFNA(VLOOKUP(A1127,'GL''s Monitored'!$A$3:$B$1048576,2,0),"")</f>
        <v/>
      </c>
    </row>
    <row r="1128" customFormat="false" ht="14.25" hidden="true" customHeight="true" outlineLevel="0" collapsed="false">
      <c r="B1128" s="1" t="str">
        <f aca="false">_xlfn.IFNA(VLOOKUP(A1128,'GL''s Monitored'!$A$3:$B$1048576,2,0),"")</f>
        <v/>
      </c>
    </row>
    <row r="1129" customFormat="false" ht="14.25" hidden="true" customHeight="true" outlineLevel="0" collapsed="false">
      <c r="B1129" s="1" t="str">
        <f aca="false">_xlfn.IFNA(VLOOKUP(A1129,'GL''s Monitored'!$A$3:$B$1048576,2,0),"")</f>
        <v/>
      </c>
    </row>
    <row r="1130" customFormat="false" ht="14.25" hidden="true" customHeight="true" outlineLevel="0" collapsed="false">
      <c r="B1130" s="1" t="str">
        <f aca="false">_xlfn.IFNA(VLOOKUP(A1130,'GL''s Monitored'!$A$3:$B$1048576,2,0),"")</f>
        <v/>
      </c>
    </row>
  </sheetData>
  <autoFilter ref="A1005:B1130"/>
  <mergeCells count="1">
    <mergeCell ref="A2:M2"/>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G107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C2" activeCellId="1" sqref="4:8 C2"/>
    </sheetView>
  </sheetViews>
  <sheetFormatPr defaultColWidth="8.72265625" defaultRowHeight="14.25" zeroHeight="false" outlineLevelRow="0" outlineLevelCol="0"/>
  <cols>
    <col collapsed="false" customWidth="true" hidden="false" outlineLevel="0" max="1" min="1" style="1" width="10.09"/>
    <col collapsed="false" customWidth="true" hidden="false" outlineLevel="0" max="2" min="2" style="1" width="9.54"/>
    <col collapsed="false" customWidth="true" hidden="false" outlineLevel="0" max="3" min="3" style="1" width="39.82"/>
    <col collapsed="false" customWidth="true" hidden="false" outlineLevel="0" max="4" min="4" style="1" width="54.91"/>
    <col collapsed="false" customWidth="true" hidden="false" outlineLevel="0" max="5" min="5" style="1" width="5.46"/>
    <col collapsed="false" customWidth="true" hidden="false" outlineLevel="0" max="6" min="6" style="1" width="6.82"/>
    <col collapsed="false" customWidth="true" hidden="false" outlineLevel="0" max="7" min="7" style="1" width="24.54"/>
    <col collapsed="false" customWidth="false" hidden="true" outlineLevel="0" max="1024" min="10" style="1" width="8.72"/>
  </cols>
  <sheetData>
    <row r="1" customFormat="false" ht="45" hidden="false" customHeight="true" outlineLevel="0" collapsed="false"/>
    <row r="2" customFormat="false" ht="14.25" hidden="false" customHeight="false" outlineLevel="0" collapsed="false">
      <c r="A2" s="31" t="s">
        <v>1</v>
      </c>
      <c r="B2" s="31" t="s">
        <v>361</v>
      </c>
      <c r="C2" s="31" t="s">
        <v>2</v>
      </c>
      <c r="D2" s="31" t="s">
        <v>362</v>
      </c>
      <c r="E2" s="31" t="s">
        <v>64</v>
      </c>
      <c r="F2" s="31" t="s">
        <v>363</v>
      </c>
      <c r="G2" s="31" t="s">
        <v>364</v>
      </c>
    </row>
    <row r="3" customFormat="false" ht="14.25" hidden="false" customHeight="false" outlineLevel="0" collapsed="false">
      <c r="A3" s="47" t="s">
        <v>242</v>
      </c>
      <c r="B3" s="47" t="n">
        <v>338801</v>
      </c>
      <c r="C3" s="47" t="s">
        <v>365</v>
      </c>
      <c r="D3" s="47" t="s">
        <v>366</v>
      </c>
      <c r="E3" s="47" t="s">
        <v>8</v>
      </c>
      <c r="F3" s="47" t="s">
        <v>367</v>
      </c>
      <c r="G3" s="97" t="s">
        <v>368</v>
      </c>
    </row>
    <row r="4" customFormat="false" ht="14.25" hidden="false" customHeight="false" outlineLevel="0" collapsed="false">
      <c r="A4" s="47" t="s">
        <v>242</v>
      </c>
      <c r="B4" s="47" t="n">
        <v>338801</v>
      </c>
      <c r="C4" s="47" t="s">
        <v>369</v>
      </c>
      <c r="D4" s="47" t="s">
        <v>370</v>
      </c>
      <c r="E4" s="47" t="s">
        <v>8</v>
      </c>
      <c r="F4" s="47" t="s">
        <v>367</v>
      </c>
      <c r="G4" s="97" t="s">
        <v>371</v>
      </c>
    </row>
    <row r="5" customFormat="false" ht="14.25" hidden="false" customHeight="false" outlineLevel="0" collapsed="false">
      <c r="A5" s="47" t="s">
        <v>242</v>
      </c>
      <c r="B5" s="47" t="n">
        <v>338801</v>
      </c>
      <c r="C5" s="47" t="s">
        <v>372</v>
      </c>
      <c r="D5" s="47" t="s">
        <v>373</v>
      </c>
      <c r="E5" s="47" t="s">
        <v>8</v>
      </c>
      <c r="F5" s="47" t="s">
        <v>374</v>
      </c>
      <c r="G5" s="97" t="s">
        <v>371</v>
      </c>
    </row>
    <row r="6" customFormat="false" ht="14.25" hidden="false" customHeight="false" outlineLevel="0" collapsed="false">
      <c r="A6" s="47" t="s">
        <v>242</v>
      </c>
      <c r="B6" s="47" t="n">
        <v>338801</v>
      </c>
      <c r="C6" s="47" t="s">
        <v>375</v>
      </c>
      <c r="D6" s="47" t="s">
        <v>376</v>
      </c>
      <c r="E6" s="47" t="s">
        <v>8</v>
      </c>
      <c r="F6" s="47" t="s">
        <v>367</v>
      </c>
      <c r="G6" s="97" t="s">
        <v>368</v>
      </c>
    </row>
    <row r="7" customFormat="false" ht="14.25" hidden="false" customHeight="false" outlineLevel="0" collapsed="false">
      <c r="A7" s="47" t="s">
        <v>242</v>
      </c>
      <c r="B7" s="47" t="n">
        <v>338801</v>
      </c>
      <c r="C7" s="47" t="s">
        <v>377</v>
      </c>
      <c r="D7" s="47" t="s">
        <v>378</v>
      </c>
      <c r="E7" s="47" t="s">
        <v>8</v>
      </c>
      <c r="F7" s="47" t="s">
        <v>367</v>
      </c>
      <c r="G7" s="97" t="s">
        <v>368</v>
      </c>
    </row>
    <row r="8" customFormat="false" ht="14.25" hidden="false" customHeight="false" outlineLevel="0" collapsed="false">
      <c r="A8" s="47" t="s">
        <v>242</v>
      </c>
      <c r="B8" s="47" t="n">
        <v>338801</v>
      </c>
      <c r="C8" s="47" t="s">
        <v>379</v>
      </c>
      <c r="D8" s="47" t="s">
        <v>380</v>
      </c>
      <c r="E8" s="47" t="s">
        <v>8</v>
      </c>
      <c r="F8" s="47" t="s">
        <v>374</v>
      </c>
      <c r="G8" s="97" t="s">
        <v>381</v>
      </c>
    </row>
    <row r="9" customFormat="false" ht="14.25" hidden="false" customHeight="false" outlineLevel="0" collapsed="false">
      <c r="A9" s="47" t="s">
        <v>242</v>
      </c>
      <c r="B9" s="47" t="n">
        <v>338801</v>
      </c>
      <c r="C9" s="47" t="s">
        <v>382</v>
      </c>
      <c r="D9" s="47" t="s">
        <v>383</v>
      </c>
      <c r="E9" s="47" t="s">
        <v>8</v>
      </c>
      <c r="F9" s="47" t="s">
        <v>374</v>
      </c>
      <c r="G9" s="97" t="s">
        <v>381</v>
      </c>
    </row>
    <row r="10" customFormat="false" ht="14.25" hidden="false" customHeight="false" outlineLevel="0" collapsed="false">
      <c r="A10" s="47" t="s">
        <v>242</v>
      </c>
      <c r="B10" s="47" t="n">
        <v>338801</v>
      </c>
      <c r="C10" s="47" t="s">
        <v>384</v>
      </c>
      <c r="D10" s="47" t="s">
        <v>385</v>
      </c>
      <c r="E10" s="47" t="s">
        <v>8</v>
      </c>
      <c r="F10" s="47" t="s">
        <v>374</v>
      </c>
      <c r="G10" s="97" t="s">
        <v>381</v>
      </c>
    </row>
    <row r="11" customFormat="false" ht="14.25" hidden="false" customHeight="false" outlineLevel="0" collapsed="false">
      <c r="A11" s="47" t="s">
        <v>242</v>
      </c>
      <c r="B11" s="47" t="n">
        <v>338801</v>
      </c>
      <c r="C11" s="47" t="s">
        <v>386</v>
      </c>
      <c r="D11" s="47" t="s">
        <v>387</v>
      </c>
      <c r="E11" s="47" t="s">
        <v>8</v>
      </c>
      <c r="F11" s="47" t="s">
        <v>367</v>
      </c>
      <c r="G11" s="97" t="s">
        <v>368</v>
      </c>
    </row>
    <row r="12" customFormat="false" ht="14.25" hidden="false" customHeight="false" outlineLevel="0" collapsed="false">
      <c r="A12" s="47" t="s">
        <v>242</v>
      </c>
      <c r="B12" s="47" t="n">
        <v>338801</v>
      </c>
      <c r="C12" s="47" t="s">
        <v>388</v>
      </c>
      <c r="D12" s="47" t="s">
        <v>389</v>
      </c>
      <c r="E12" s="47" t="s">
        <v>8</v>
      </c>
      <c r="F12" s="47" t="s">
        <v>374</v>
      </c>
      <c r="G12" s="97" t="s">
        <v>381</v>
      </c>
    </row>
    <row r="13" customFormat="false" ht="14.25" hidden="false" customHeight="false" outlineLevel="0" collapsed="false">
      <c r="A13" s="47" t="s">
        <v>242</v>
      </c>
      <c r="B13" s="47" t="n">
        <v>338801</v>
      </c>
      <c r="C13" s="47" t="s">
        <v>390</v>
      </c>
      <c r="D13" s="47" t="s">
        <v>391</v>
      </c>
      <c r="E13" s="47" t="s">
        <v>8</v>
      </c>
      <c r="F13" s="47" t="s">
        <v>374</v>
      </c>
      <c r="G13" s="97" t="s">
        <v>392</v>
      </c>
    </row>
    <row r="14" customFormat="false" ht="14.25" hidden="false" customHeight="false" outlineLevel="0" collapsed="false">
      <c r="A14" s="47" t="s">
        <v>242</v>
      </c>
      <c r="B14" s="47" t="n">
        <v>338801</v>
      </c>
      <c r="C14" s="47" t="s">
        <v>393</v>
      </c>
      <c r="D14" s="47" t="s">
        <v>394</v>
      </c>
      <c r="E14" s="47" t="s">
        <v>8</v>
      </c>
      <c r="F14" s="47" t="s">
        <v>374</v>
      </c>
      <c r="G14" s="97" t="s">
        <v>381</v>
      </c>
    </row>
    <row r="15" customFormat="false" ht="14.25" hidden="false" customHeight="false" outlineLevel="0" collapsed="false">
      <c r="A15" s="47" t="s">
        <v>242</v>
      </c>
      <c r="B15" s="47" t="n">
        <v>338801</v>
      </c>
      <c r="C15" s="47" t="s">
        <v>395</v>
      </c>
      <c r="D15" s="47" t="s">
        <v>396</v>
      </c>
      <c r="E15" s="47" t="s">
        <v>8</v>
      </c>
      <c r="F15" s="47" t="s">
        <v>374</v>
      </c>
      <c r="G15" s="97" t="s">
        <v>381</v>
      </c>
    </row>
    <row r="16" customFormat="false" ht="14.25" hidden="false" customHeight="false" outlineLevel="0" collapsed="false">
      <c r="A16" s="47" t="s">
        <v>242</v>
      </c>
      <c r="B16" s="47" t="n">
        <v>338801</v>
      </c>
      <c r="C16" s="47" t="s">
        <v>397</v>
      </c>
      <c r="D16" s="47" t="s">
        <v>398</v>
      </c>
      <c r="E16" s="47" t="s">
        <v>8</v>
      </c>
      <c r="F16" s="47" t="s">
        <v>374</v>
      </c>
      <c r="G16" s="97" t="s">
        <v>381</v>
      </c>
    </row>
    <row r="17" customFormat="false" ht="14.25" hidden="false" customHeight="false" outlineLevel="0" collapsed="false">
      <c r="A17" s="47" t="s">
        <v>6</v>
      </c>
      <c r="B17" s="47" t="n">
        <v>111172</v>
      </c>
      <c r="C17" s="47" t="s">
        <v>47</v>
      </c>
      <c r="D17" s="47" t="s">
        <v>399</v>
      </c>
      <c r="E17" s="47" t="s">
        <v>8</v>
      </c>
      <c r="F17" s="47" t="s">
        <v>374</v>
      </c>
      <c r="G17" s="97" t="s">
        <v>371</v>
      </c>
    </row>
    <row r="18" customFormat="false" ht="14.25" hidden="false" customHeight="false" outlineLevel="0" collapsed="false">
      <c r="A18" s="47" t="s">
        <v>6</v>
      </c>
      <c r="B18" s="47" t="n">
        <v>111172</v>
      </c>
      <c r="C18" s="47" t="s">
        <v>19</v>
      </c>
      <c r="D18" s="47" t="s">
        <v>400</v>
      </c>
      <c r="E18" s="47" t="s">
        <v>8</v>
      </c>
      <c r="F18" s="47" t="s">
        <v>374</v>
      </c>
      <c r="G18" s="97" t="s">
        <v>371</v>
      </c>
    </row>
    <row r="19" customFormat="false" ht="14.25" hidden="false" customHeight="false" outlineLevel="0" collapsed="false">
      <c r="A19" s="47" t="s">
        <v>6</v>
      </c>
      <c r="B19" s="47" t="n">
        <v>111172</v>
      </c>
      <c r="C19" s="47" t="s">
        <v>401</v>
      </c>
      <c r="D19" s="47" t="s">
        <v>402</v>
      </c>
      <c r="E19" s="47" t="s">
        <v>8</v>
      </c>
      <c r="F19" s="47" t="s">
        <v>374</v>
      </c>
      <c r="G19" s="97" t="s">
        <v>381</v>
      </c>
    </row>
    <row r="20" customFormat="false" ht="14.25" hidden="false" customHeight="false" outlineLevel="0" collapsed="false">
      <c r="A20" s="47" t="s">
        <v>6</v>
      </c>
      <c r="B20" s="47" t="n">
        <v>111172</v>
      </c>
      <c r="C20" s="47" t="s">
        <v>21</v>
      </c>
      <c r="D20" s="47" t="s">
        <v>403</v>
      </c>
      <c r="E20" s="47" t="s">
        <v>8</v>
      </c>
      <c r="F20" s="47" t="s">
        <v>374</v>
      </c>
      <c r="G20" s="97" t="s">
        <v>371</v>
      </c>
    </row>
    <row r="21" customFormat="false" ht="14.25" hidden="false" customHeight="false" outlineLevel="0" collapsed="false">
      <c r="A21" s="47" t="s">
        <v>6</v>
      </c>
      <c r="B21" s="47" t="n">
        <v>111172</v>
      </c>
      <c r="C21" s="47" t="s">
        <v>404</v>
      </c>
      <c r="D21" s="47" t="s">
        <v>405</v>
      </c>
      <c r="E21" s="47" t="s">
        <v>8</v>
      </c>
      <c r="F21" s="47" t="s">
        <v>374</v>
      </c>
      <c r="G21" s="97" t="s">
        <v>381</v>
      </c>
    </row>
    <row r="22" customFormat="false" ht="14.25" hidden="false" customHeight="false" outlineLevel="0" collapsed="false">
      <c r="A22" s="47" t="s">
        <v>6</v>
      </c>
      <c r="B22" s="47" t="n">
        <v>111172</v>
      </c>
      <c r="C22" s="47" t="s">
        <v>406</v>
      </c>
      <c r="D22" s="47" t="s">
        <v>407</v>
      </c>
      <c r="E22" s="47" t="s">
        <v>8</v>
      </c>
      <c r="F22" s="47" t="s">
        <v>374</v>
      </c>
      <c r="G22" s="97" t="s">
        <v>392</v>
      </c>
    </row>
    <row r="23" customFormat="false" ht="14.25" hidden="false" customHeight="false" outlineLevel="0" collapsed="false">
      <c r="A23" s="47" t="s">
        <v>6</v>
      </c>
      <c r="B23" s="47" t="n">
        <v>111172</v>
      </c>
      <c r="C23" s="47" t="s">
        <v>408</v>
      </c>
      <c r="D23" s="47" t="s">
        <v>409</v>
      </c>
      <c r="E23" s="47" t="s">
        <v>8</v>
      </c>
      <c r="F23" s="47" t="s">
        <v>374</v>
      </c>
      <c r="G23" s="97" t="s">
        <v>381</v>
      </c>
    </row>
    <row r="24" customFormat="false" ht="14.25" hidden="false" customHeight="false" outlineLevel="0" collapsed="false">
      <c r="A24" s="47" t="s">
        <v>6</v>
      </c>
      <c r="B24" s="47" t="n">
        <v>111172</v>
      </c>
      <c r="C24" s="47" t="s">
        <v>410</v>
      </c>
      <c r="D24" s="47" t="s">
        <v>411</v>
      </c>
      <c r="E24" s="47" t="s">
        <v>8</v>
      </c>
      <c r="F24" s="47" t="s">
        <v>374</v>
      </c>
      <c r="G24" s="97" t="s">
        <v>381</v>
      </c>
    </row>
    <row r="25" customFormat="false" ht="14.25" hidden="false" customHeight="false" outlineLevel="0" collapsed="false">
      <c r="A25" s="47" t="s">
        <v>6</v>
      </c>
      <c r="B25" s="47" t="n">
        <v>111172</v>
      </c>
      <c r="C25" s="47" t="s">
        <v>412</v>
      </c>
      <c r="D25" s="47" t="s">
        <v>413</v>
      </c>
      <c r="E25" s="47" t="s">
        <v>8</v>
      </c>
      <c r="F25" s="47" t="s">
        <v>367</v>
      </c>
      <c r="G25" s="97" t="s">
        <v>368</v>
      </c>
    </row>
    <row r="26" customFormat="false" ht="14.25" hidden="false" customHeight="false" outlineLevel="0" collapsed="false">
      <c r="A26" s="47" t="s">
        <v>6</v>
      </c>
      <c r="B26" s="47" t="n">
        <v>111172</v>
      </c>
      <c r="C26" s="47" t="s">
        <v>414</v>
      </c>
      <c r="D26" s="47" t="s">
        <v>415</v>
      </c>
      <c r="E26" s="47" t="s">
        <v>8</v>
      </c>
      <c r="F26" s="47" t="s">
        <v>374</v>
      </c>
      <c r="G26" s="97" t="s">
        <v>381</v>
      </c>
    </row>
    <row r="27" customFormat="false" ht="14.25" hidden="false" customHeight="false" outlineLevel="0" collapsed="false">
      <c r="A27" s="47" t="s">
        <v>6</v>
      </c>
      <c r="B27" s="47" t="n">
        <v>111172</v>
      </c>
      <c r="C27" s="47" t="s">
        <v>416</v>
      </c>
      <c r="D27" s="47" t="s">
        <v>417</v>
      </c>
      <c r="E27" s="47" t="s">
        <v>8</v>
      </c>
      <c r="F27" s="47" t="s">
        <v>374</v>
      </c>
      <c r="G27" s="97" t="s">
        <v>381</v>
      </c>
    </row>
    <row r="28" customFormat="false" ht="14.25" hidden="false" customHeight="false" outlineLevel="0" collapsed="false">
      <c r="A28" s="47" t="s">
        <v>6</v>
      </c>
      <c r="B28" s="47" t="n">
        <v>111172</v>
      </c>
      <c r="C28" s="47" t="s">
        <v>418</v>
      </c>
      <c r="D28" s="47" t="s">
        <v>419</v>
      </c>
      <c r="E28" s="47" t="s">
        <v>8</v>
      </c>
      <c r="F28" s="47" t="s">
        <v>367</v>
      </c>
      <c r="G28" s="97" t="s">
        <v>368</v>
      </c>
    </row>
    <row r="29" customFormat="false" ht="14.25" hidden="false" customHeight="false" outlineLevel="0" collapsed="false">
      <c r="A29" s="47" t="s">
        <v>6</v>
      </c>
      <c r="B29" s="47" t="n">
        <v>111172</v>
      </c>
      <c r="C29" s="47" t="s">
        <v>27</v>
      </c>
      <c r="D29" s="47" t="s">
        <v>420</v>
      </c>
      <c r="E29" s="47" t="s">
        <v>8</v>
      </c>
      <c r="F29" s="47" t="s">
        <v>374</v>
      </c>
      <c r="G29" s="97" t="s">
        <v>371</v>
      </c>
    </row>
    <row r="30" customFormat="false" ht="14.25" hidden="false" customHeight="false" outlineLevel="0" collapsed="false">
      <c r="A30" s="47" t="s">
        <v>6</v>
      </c>
      <c r="B30" s="47" t="n">
        <v>111172</v>
      </c>
      <c r="C30" s="47" t="s">
        <v>421</v>
      </c>
      <c r="D30" s="47" t="s">
        <v>422</v>
      </c>
      <c r="E30" s="47" t="s">
        <v>8</v>
      </c>
      <c r="F30" s="47" t="s">
        <v>374</v>
      </c>
      <c r="G30" s="97" t="s">
        <v>381</v>
      </c>
    </row>
    <row r="31" customFormat="false" ht="14.25" hidden="false" customHeight="false" outlineLevel="0" collapsed="false">
      <c r="A31" s="47" t="s">
        <v>6</v>
      </c>
      <c r="B31" s="47" t="n">
        <v>111172</v>
      </c>
      <c r="C31" s="47" t="s">
        <v>423</v>
      </c>
      <c r="D31" s="47" t="s">
        <v>424</v>
      </c>
      <c r="E31" s="47" t="s">
        <v>8</v>
      </c>
      <c r="F31" s="47" t="s">
        <v>374</v>
      </c>
      <c r="G31" s="97" t="s">
        <v>381</v>
      </c>
    </row>
    <row r="32" customFormat="false" ht="14.25" hidden="false" customHeight="false" outlineLevel="0" collapsed="false">
      <c r="A32" s="47" t="s">
        <v>6</v>
      </c>
      <c r="B32" s="47" t="n">
        <v>111172</v>
      </c>
      <c r="C32" s="47" t="s">
        <v>31</v>
      </c>
      <c r="D32" s="47" t="s">
        <v>425</v>
      </c>
      <c r="E32" s="47" t="s">
        <v>8</v>
      </c>
      <c r="F32" s="47" t="s">
        <v>374</v>
      </c>
      <c r="G32" s="97" t="s">
        <v>371</v>
      </c>
    </row>
    <row r="33" customFormat="false" ht="14.25" hidden="false" customHeight="false" outlineLevel="0" collapsed="false">
      <c r="A33" s="47" t="s">
        <v>6</v>
      </c>
      <c r="B33" s="47" t="n">
        <v>111172</v>
      </c>
      <c r="C33" s="47" t="s">
        <v>426</v>
      </c>
      <c r="D33" s="47" t="s">
        <v>427</v>
      </c>
      <c r="E33" s="47" t="s">
        <v>8</v>
      </c>
      <c r="F33" s="47" t="s">
        <v>367</v>
      </c>
      <c r="G33" s="97" t="s">
        <v>368</v>
      </c>
    </row>
    <row r="34" customFormat="false" ht="14.25" hidden="false" customHeight="false" outlineLevel="0" collapsed="false">
      <c r="A34" s="47" t="s">
        <v>6</v>
      </c>
      <c r="B34" s="47" t="n">
        <v>111172</v>
      </c>
      <c r="C34" s="47" t="s">
        <v>428</v>
      </c>
      <c r="D34" s="47" t="s">
        <v>429</v>
      </c>
      <c r="E34" s="47" t="s">
        <v>8</v>
      </c>
      <c r="F34" s="47" t="s">
        <v>374</v>
      </c>
      <c r="G34" s="97" t="s">
        <v>392</v>
      </c>
    </row>
    <row r="35" customFormat="false" ht="14.25" hidden="false" customHeight="false" outlineLevel="0" collapsed="false">
      <c r="A35" s="47" t="s">
        <v>6</v>
      </c>
      <c r="B35" s="47" t="n">
        <v>111172</v>
      </c>
      <c r="C35" s="47" t="s">
        <v>430</v>
      </c>
      <c r="D35" s="47" t="s">
        <v>431</v>
      </c>
      <c r="E35" s="47" t="s">
        <v>8</v>
      </c>
      <c r="F35" s="47" t="s">
        <v>367</v>
      </c>
      <c r="G35" s="97" t="s">
        <v>368</v>
      </c>
    </row>
    <row r="36" customFormat="false" ht="14.25" hidden="false" customHeight="false" outlineLevel="0" collapsed="false">
      <c r="A36" s="47" t="s">
        <v>6</v>
      </c>
      <c r="B36" s="47" t="n">
        <v>111172</v>
      </c>
      <c r="C36" s="47" t="s">
        <v>11</v>
      </c>
      <c r="D36" s="47" t="s">
        <v>432</v>
      </c>
      <c r="E36" s="47" t="s">
        <v>8</v>
      </c>
      <c r="F36" s="47" t="s">
        <v>374</v>
      </c>
      <c r="G36" s="97" t="s">
        <v>371</v>
      </c>
    </row>
    <row r="37" customFormat="false" ht="14.25" hidden="false" customHeight="false" outlineLevel="0" collapsed="false">
      <c r="A37" s="47" t="s">
        <v>6</v>
      </c>
      <c r="B37" s="47" t="n">
        <v>111172</v>
      </c>
      <c r="C37" s="47" t="s">
        <v>433</v>
      </c>
      <c r="D37" s="47" t="s">
        <v>434</v>
      </c>
      <c r="E37" s="47" t="s">
        <v>8</v>
      </c>
      <c r="F37" s="47" t="s">
        <v>367</v>
      </c>
      <c r="G37" s="97" t="s">
        <v>368</v>
      </c>
    </row>
    <row r="38" customFormat="false" ht="14.25" hidden="false" customHeight="false" outlineLevel="0" collapsed="false">
      <c r="A38" s="47" t="s">
        <v>6</v>
      </c>
      <c r="B38" s="47" t="n">
        <v>111172</v>
      </c>
      <c r="C38" s="47" t="s">
        <v>33</v>
      </c>
      <c r="D38" s="47" t="s">
        <v>435</v>
      </c>
      <c r="E38" s="47" t="s">
        <v>8</v>
      </c>
      <c r="F38" s="47" t="s">
        <v>374</v>
      </c>
      <c r="G38" s="97" t="s">
        <v>371</v>
      </c>
    </row>
    <row r="39" customFormat="false" ht="14.25" hidden="false" customHeight="false" outlineLevel="0" collapsed="false">
      <c r="A39" s="47" t="s">
        <v>6</v>
      </c>
      <c r="B39" s="47" t="n">
        <v>111172</v>
      </c>
      <c r="C39" s="47" t="s">
        <v>436</v>
      </c>
      <c r="D39" s="47" t="s">
        <v>437</v>
      </c>
      <c r="E39" s="47" t="s">
        <v>8</v>
      </c>
      <c r="F39" s="47" t="s">
        <v>367</v>
      </c>
      <c r="G39" s="97" t="s">
        <v>368</v>
      </c>
    </row>
    <row r="40" customFormat="false" ht="14.25" hidden="false" customHeight="false" outlineLevel="0" collapsed="false">
      <c r="A40" s="47" t="s">
        <v>6</v>
      </c>
      <c r="B40" s="47" t="n">
        <v>111172</v>
      </c>
      <c r="C40" s="47" t="s">
        <v>438</v>
      </c>
      <c r="D40" s="47" t="s">
        <v>439</v>
      </c>
      <c r="E40" s="47" t="s">
        <v>8</v>
      </c>
      <c r="F40" s="47" t="s">
        <v>367</v>
      </c>
      <c r="G40" s="97" t="s">
        <v>368</v>
      </c>
    </row>
    <row r="41" customFormat="false" ht="14.25" hidden="false" customHeight="false" outlineLevel="0" collapsed="false">
      <c r="A41" s="47" t="s">
        <v>6</v>
      </c>
      <c r="B41" s="47" t="n">
        <v>111172</v>
      </c>
      <c r="C41" s="47" t="s">
        <v>440</v>
      </c>
      <c r="D41" s="47" t="s">
        <v>441</v>
      </c>
      <c r="E41" s="47" t="s">
        <v>8</v>
      </c>
      <c r="F41" s="47" t="s">
        <v>374</v>
      </c>
      <c r="G41" s="97" t="s">
        <v>381</v>
      </c>
    </row>
    <row r="42" customFormat="false" ht="14.25" hidden="false" customHeight="false" outlineLevel="0" collapsed="false">
      <c r="A42" s="47" t="s">
        <v>6</v>
      </c>
      <c r="B42" s="47" t="n">
        <v>111172</v>
      </c>
      <c r="C42" s="47" t="s">
        <v>442</v>
      </c>
      <c r="D42" s="47" t="s">
        <v>443</v>
      </c>
      <c r="E42" s="47" t="s">
        <v>8</v>
      </c>
      <c r="F42" s="47" t="s">
        <v>367</v>
      </c>
      <c r="G42" s="97" t="s">
        <v>368</v>
      </c>
    </row>
    <row r="43" customFormat="false" ht="14.25" hidden="false" customHeight="false" outlineLevel="0" collapsed="false">
      <c r="A43" s="47" t="s">
        <v>6</v>
      </c>
      <c r="B43" s="47" t="n">
        <v>111172</v>
      </c>
      <c r="C43" s="47" t="s">
        <v>444</v>
      </c>
      <c r="D43" s="47" t="s">
        <v>445</v>
      </c>
      <c r="E43" s="47" t="s">
        <v>8</v>
      </c>
      <c r="F43" s="47" t="s">
        <v>367</v>
      </c>
      <c r="G43" s="97" t="s">
        <v>368</v>
      </c>
    </row>
    <row r="44" customFormat="false" ht="14.25" hidden="false" customHeight="false" outlineLevel="0" collapsed="false">
      <c r="A44" s="47" t="s">
        <v>6</v>
      </c>
      <c r="B44" s="47" t="n">
        <v>111172</v>
      </c>
      <c r="C44" s="47" t="s">
        <v>446</v>
      </c>
      <c r="D44" s="47" t="s">
        <v>447</v>
      </c>
      <c r="E44" s="47" t="s">
        <v>8</v>
      </c>
      <c r="F44" s="47" t="s">
        <v>367</v>
      </c>
      <c r="G44" s="97" t="s">
        <v>368</v>
      </c>
    </row>
    <row r="45" customFormat="false" ht="14.25" hidden="false" customHeight="false" outlineLevel="0" collapsed="false">
      <c r="A45" s="47" t="s">
        <v>6</v>
      </c>
      <c r="B45" s="47" t="n">
        <v>111172</v>
      </c>
      <c r="C45" s="47" t="s">
        <v>7</v>
      </c>
      <c r="D45" s="47" t="s">
        <v>448</v>
      </c>
      <c r="E45" s="47" t="s">
        <v>8</v>
      </c>
      <c r="F45" s="47" t="s">
        <v>374</v>
      </c>
      <c r="G45" s="97" t="s">
        <v>371</v>
      </c>
    </row>
    <row r="46" customFormat="false" ht="14.25" hidden="false" customHeight="false" outlineLevel="0" collapsed="false">
      <c r="A46" s="47" t="s">
        <v>6</v>
      </c>
      <c r="B46" s="47" t="n">
        <v>111172</v>
      </c>
      <c r="C46" s="47" t="s">
        <v>449</v>
      </c>
      <c r="D46" s="47" t="s">
        <v>450</v>
      </c>
      <c r="E46" s="47" t="s">
        <v>8</v>
      </c>
      <c r="F46" s="47" t="s">
        <v>367</v>
      </c>
      <c r="G46" s="97" t="s">
        <v>368</v>
      </c>
    </row>
    <row r="47" customFormat="false" ht="14.25" hidden="false" customHeight="false" outlineLevel="0" collapsed="false">
      <c r="A47" s="47" t="s">
        <v>6</v>
      </c>
      <c r="B47" s="47" t="n">
        <v>111172</v>
      </c>
      <c r="C47" s="47" t="s">
        <v>451</v>
      </c>
      <c r="D47" s="47" t="s">
        <v>452</v>
      </c>
      <c r="E47" s="47" t="s">
        <v>8</v>
      </c>
      <c r="F47" s="47" t="s">
        <v>374</v>
      </c>
      <c r="G47" s="97" t="s">
        <v>381</v>
      </c>
    </row>
    <row r="48" customFormat="false" ht="14.25" hidden="false" customHeight="false" outlineLevel="0" collapsed="false">
      <c r="A48" s="47" t="s">
        <v>6</v>
      </c>
      <c r="B48" s="47" t="n">
        <v>111172</v>
      </c>
      <c r="C48" s="47" t="s">
        <v>453</v>
      </c>
      <c r="D48" s="47" t="s">
        <v>454</v>
      </c>
      <c r="E48" s="47" t="s">
        <v>8</v>
      </c>
      <c r="F48" s="47" t="s">
        <v>367</v>
      </c>
      <c r="G48" s="97" t="s">
        <v>368</v>
      </c>
    </row>
    <row r="49" customFormat="false" ht="14.25" hidden="false" customHeight="false" outlineLevel="0" collapsed="false">
      <c r="A49" s="47" t="s">
        <v>6</v>
      </c>
      <c r="B49" s="47" t="n">
        <v>111172</v>
      </c>
      <c r="C49" s="47" t="s">
        <v>455</v>
      </c>
      <c r="D49" s="47" t="s">
        <v>456</v>
      </c>
      <c r="E49" s="47" t="s">
        <v>8</v>
      </c>
      <c r="F49" s="47" t="s">
        <v>367</v>
      </c>
      <c r="G49" s="97" t="s">
        <v>368</v>
      </c>
    </row>
    <row r="50" customFormat="false" ht="14.25" hidden="false" customHeight="false" outlineLevel="0" collapsed="false">
      <c r="A50" s="47" t="s">
        <v>6</v>
      </c>
      <c r="B50" s="47" t="n">
        <v>111172</v>
      </c>
      <c r="C50" s="47" t="s">
        <v>457</v>
      </c>
      <c r="D50" s="47" t="s">
        <v>458</v>
      </c>
      <c r="E50" s="47" t="s">
        <v>8</v>
      </c>
      <c r="F50" s="47" t="s">
        <v>374</v>
      </c>
      <c r="G50" s="97" t="s">
        <v>381</v>
      </c>
    </row>
    <row r="51" customFormat="false" ht="14.25" hidden="false" customHeight="false" outlineLevel="0" collapsed="false">
      <c r="A51" s="47" t="s">
        <v>6</v>
      </c>
      <c r="B51" s="47" t="n">
        <v>111172</v>
      </c>
      <c r="C51" s="47" t="s">
        <v>459</v>
      </c>
      <c r="D51" s="47" t="s">
        <v>460</v>
      </c>
      <c r="E51" s="47" t="s">
        <v>8</v>
      </c>
      <c r="F51" s="47" t="s">
        <v>367</v>
      </c>
      <c r="G51" s="97" t="s">
        <v>368</v>
      </c>
    </row>
    <row r="52" customFormat="false" ht="14.25" hidden="false" customHeight="false" outlineLevel="0" collapsed="false">
      <c r="A52" s="47" t="s">
        <v>6</v>
      </c>
      <c r="B52" s="47" t="n">
        <v>111172</v>
      </c>
      <c r="C52" s="47" t="s">
        <v>461</v>
      </c>
      <c r="D52" s="47" t="s">
        <v>462</v>
      </c>
      <c r="E52" s="47" t="s">
        <v>8</v>
      </c>
      <c r="F52" s="47" t="s">
        <v>367</v>
      </c>
      <c r="G52" s="97" t="s">
        <v>368</v>
      </c>
    </row>
    <row r="53" customFormat="false" ht="14.25" hidden="false" customHeight="false" outlineLevel="0" collapsed="false">
      <c r="A53" s="47" t="s">
        <v>6</v>
      </c>
      <c r="B53" s="47" t="n">
        <v>111172</v>
      </c>
      <c r="C53" s="47" t="s">
        <v>35</v>
      </c>
      <c r="D53" s="47" t="s">
        <v>463</v>
      </c>
      <c r="E53" s="47" t="s">
        <v>8</v>
      </c>
      <c r="F53" s="47" t="s">
        <v>374</v>
      </c>
      <c r="G53" s="97" t="s">
        <v>371</v>
      </c>
    </row>
    <row r="54" customFormat="false" ht="14.25" hidden="false" customHeight="false" outlineLevel="0" collapsed="false">
      <c r="A54" s="47" t="s">
        <v>6</v>
      </c>
      <c r="B54" s="47" t="n">
        <v>111172</v>
      </c>
      <c r="C54" s="47" t="s">
        <v>464</v>
      </c>
      <c r="D54" s="47" t="s">
        <v>465</v>
      </c>
      <c r="E54" s="47" t="s">
        <v>8</v>
      </c>
      <c r="F54" s="47" t="s">
        <v>374</v>
      </c>
      <c r="G54" s="97" t="s">
        <v>392</v>
      </c>
    </row>
    <row r="55" customFormat="false" ht="14.25" hidden="false" customHeight="false" outlineLevel="0" collapsed="false">
      <c r="A55" s="47" t="s">
        <v>6</v>
      </c>
      <c r="B55" s="47" t="n">
        <v>111172</v>
      </c>
      <c r="C55" s="47" t="s">
        <v>466</v>
      </c>
      <c r="D55" s="47" t="s">
        <v>467</v>
      </c>
      <c r="E55" s="47" t="s">
        <v>8</v>
      </c>
      <c r="F55" s="47" t="s">
        <v>367</v>
      </c>
      <c r="G55" s="97" t="s">
        <v>368</v>
      </c>
    </row>
    <row r="56" customFormat="false" ht="14.25" hidden="false" customHeight="false" outlineLevel="0" collapsed="false">
      <c r="A56" s="47" t="s">
        <v>6</v>
      </c>
      <c r="B56" s="47" t="n">
        <v>111172</v>
      </c>
      <c r="C56" s="47" t="s">
        <v>468</v>
      </c>
      <c r="D56" s="47" t="s">
        <v>469</v>
      </c>
      <c r="E56" s="47" t="s">
        <v>8</v>
      </c>
      <c r="F56" s="47" t="s">
        <v>374</v>
      </c>
      <c r="G56" s="97" t="s">
        <v>392</v>
      </c>
    </row>
    <row r="57" customFormat="false" ht="14.25" hidden="false" customHeight="false" outlineLevel="0" collapsed="false">
      <c r="A57" s="47" t="s">
        <v>6</v>
      </c>
      <c r="B57" s="47" t="n">
        <v>111172</v>
      </c>
      <c r="C57" s="47" t="s">
        <v>43</v>
      </c>
      <c r="D57" s="47" t="s">
        <v>470</v>
      </c>
      <c r="E57" s="47" t="s">
        <v>8</v>
      </c>
      <c r="F57" s="47" t="s">
        <v>374</v>
      </c>
      <c r="G57" s="97" t="s">
        <v>371</v>
      </c>
    </row>
    <row r="58" customFormat="false" ht="14.25" hidden="false" customHeight="false" outlineLevel="0" collapsed="false">
      <c r="A58" s="47" t="s">
        <v>6</v>
      </c>
      <c r="B58" s="47" t="n">
        <v>111172</v>
      </c>
      <c r="C58" s="47" t="s">
        <v>45</v>
      </c>
      <c r="D58" s="47" t="s">
        <v>471</v>
      </c>
      <c r="E58" s="47" t="s">
        <v>8</v>
      </c>
      <c r="F58" s="47" t="s">
        <v>374</v>
      </c>
      <c r="G58" s="97" t="s">
        <v>371</v>
      </c>
    </row>
    <row r="59" customFormat="false" ht="14.25" hidden="false" customHeight="false" outlineLevel="0" collapsed="false">
      <c r="A59" s="47" t="s">
        <v>6</v>
      </c>
      <c r="B59" s="47" t="n">
        <v>111172</v>
      </c>
      <c r="C59" s="47" t="s">
        <v>472</v>
      </c>
      <c r="D59" s="47" t="s">
        <v>473</v>
      </c>
      <c r="E59" s="47" t="s">
        <v>8</v>
      </c>
      <c r="F59" s="47" t="s">
        <v>374</v>
      </c>
      <c r="G59" s="97" t="s">
        <v>392</v>
      </c>
    </row>
    <row r="60" customFormat="false" ht="14.25" hidden="false" customHeight="false" outlineLevel="0" collapsed="false">
      <c r="A60" s="47" t="s">
        <v>6</v>
      </c>
      <c r="B60" s="47" t="n">
        <v>111172</v>
      </c>
      <c r="C60" s="47" t="s">
        <v>474</v>
      </c>
      <c r="D60" s="47" t="s">
        <v>475</v>
      </c>
      <c r="E60" s="47" t="s">
        <v>8</v>
      </c>
      <c r="F60" s="47" t="s">
        <v>374</v>
      </c>
      <c r="G60" s="97" t="s">
        <v>381</v>
      </c>
    </row>
    <row r="61" customFormat="false" ht="14.25" hidden="false" customHeight="false" outlineLevel="0" collapsed="false">
      <c r="A61" s="47" t="s">
        <v>6</v>
      </c>
      <c r="B61" s="47" t="n">
        <v>111172</v>
      </c>
      <c r="C61" s="47" t="s">
        <v>476</v>
      </c>
      <c r="D61" s="47" t="s">
        <v>477</v>
      </c>
      <c r="E61" s="47" t="s">
        <v>8</v>
      </c>
      <c r="F61" s="47" t="s">
        <v>367</v>
      </c>
      <c r="G61" s="97" t="s">
        <v>368</v>
      </c>
    </row>
    <row r="62" customFormat="false" ht="14.25" hidden="false" customHeight="false" outlineLevel="0" collapsed="false">
      <c r="A62" s="47" t="s">
        <v>6</v>
      </c>
      <c r="B62" s="47" t="n">
        <v>111172</v>
      </c>
      <c r="C62" s="47" t="s">
        <v>478</v>
      </c>
      <c r="D62" s="47" t="s">
        <v>479</v>
      </c>
      <c r="E62" s="47" t="s">
        <v>8</v>
      </c>
      <c r="F62" s="47" t="s">
        <v>374</v>
      </c>
      <c r="G62" s="97" t="s">
        <v>392</v>
      </c>
    </row>
    <row r="63" customFormat="false" ht="14.25" hidden="false" customHeight="false" outlineLevel="0" collapsed="false">
      <c r="A63" s="47" t="s">
        <v>6</v>
      </c>
      <c r="B63" s="47" t="n">
        <v>111172</v>
      </c>
      <c r="C63" s="47" t="s">
        <v>37</v>
      </c>
      <c r="D63" s="47" t="s">
        <v>480</v>
      </c>
      <c r="E63" s="47" t="s">
        <v>8</v>
      </c>
      <c r="F63" s="47" t="s">
        <v>374</v>
      </c>
      <c r="G63" s="97" t="s">
        <v>371</v>
      </c>
    </row>
    <row r="64" customFormat="false" ht="14.25" hidden="false" customHeight="false" outlineLevel="0" collapsed="false">
      <c r="A64" s="47" t="s">
        <v>6</v>
      </c>
      <c r="B64" s="47" t="n">
        <v>111172</v>
      </c>
      <c r="C64" s="47" t="s">
        <v>481</v>
      </c>
      <c r="D64" s="47" t="s">
        <v>482</v>
      </c>
      <c r="E64" s="47" t="s">
        <v>8</v>
      </c>
      <c r="F64" s="47" t="s">
        <v>374</v>
      </c>
      <c r="G64" s="97" t="s">
        <v>381</v>
      </c>
    </row>
    <row r="65" customFormat="false" ht="14.25" hidden="false" customHeight="false" outlineLevel="0" collapsed="false">
      <c r="A65" s="47" t="s">
        <v>6</v>
      </c>
      <c r="B65" s="47" t="n">
        <v>111172</v>
      </c>
      <c r="C65" s="47" t="s">
        <v>483</v>
      </c>
      <c r="D65" s="47" t="s">
        <v>484</v>
      </c>
      <c r="E65" s="47" t="s">
        <v>8</v>
      </c>
      <c r="F65" s="47" t="s">
        <v>374</v>
      </c>
      <c r="G65" s="97" t="s">
        <v>381</v>
      </c>
    </row>
    <row r="66" customFormat="false" ht="14.25" hidden="false" customHeight="false" outlineLevel="0" collapsed="false">
      <c r="A66" s="47" t="s">
        <v>6</v>
      </c>
      <c r="B66" s="47" t="n">
        <v>111172</v>
      </c>
      <c r="C66" s="47" t="s">
        <v>485</v>
      </c>
      <c r="D66" s="47" t="s">
        <v>486</v>
      </c>
      <c r="E66" s="47" t="s">
        <v>8</v>
      </c>
      <c r="F66" s="47" t="s">
        <v>367</v>
      </c>
      <c r="G66" s="97" t="s">
        <v>368</v>
      </c>
    </row>
    <row r="67" customFormat="false" ht="14.25" hidden="false" customHeight="false" outlineLevel="0" collapsed="false">
      <c r="A67" s="47" t="s">
        <v>6</v>
      </c>
      <c r="B67" s="47" t="n">
        <v>111172</v>
      </c>
      <c r="C67" s="47" t="s">
        <v>487</v>
      </c>
      <c r="D67" s="47" t="s">
        <v>488</v>
      </c>
      <c r="E67" s="47" t="s">
        <v>8</v>
      </c>
      <c r="F67" s="47" t="s">
        <v>374</v>
      </c>
      <c r="G67" s="97" t="s">
        <v>381</v>
      </c>
    </row>
    <row r="68" customFormat="false" ht="14.25" hidden="false" customHeight="false" outlineLevel="0" collapsed="false">
      <c r="A68" s="47" t="s">
        <v>6</v>
      </c>
      <c r="B68" s="47" t="n">
        <v>111172</v>
      </c>
      <c r="C68" s="47" t="s">
        <v>489</v>
      </c>
      <c r="D68" s="47" t="s">
        <v>490</v>
      </c>
      <c r="E68" s="47" t="s">
        <v>8</v>
      </c>
      <c r="F68" s="47" t="s">
        <v>367</v>
      </c>
      <c r="G68" s="97" t="s">
        <v>368</v>
      </c>
    </row>
    <row r="69" customFormat="false" ht="14.25" hidden="false" customHeight="false" outlineLevel="0" collapsed="false">
      <c r="A69" s="47" t="s">
        <v>6</v>
      </c>
      <c r="B69" s="47" t="n">
        <v>111172</v>
      </c>
      <c r="C69" s="47" t="s">
        <v>491</v>
      </c>
      <c r="D69" s="47" t="s">
        <v>492</v>
      </c>
      <c r="E69" s="47" t="s">
        <v>8</v>
      </c>
      <c r="F69" s="47" t="s">
        <v>374</v>
      </c>
      <c r="G69" s="97" t="s">
        <v>381</v>
      </c>
    </row>
    <row r="70" customFormat="false" ht="14.25" hidden="false" customHeight="false" outlineLevel="0" collapsed="false">
      <c r="A70" s="47" t="s">
        <v>6</v>
      </c>
      <c r="B70" s="47" t="n">
        <v>111172</v>
      </c>
      <c r="C70" s="47" t="s">
        <v>493</v>
      </c>
      <c r="D70" s="47" t="s">
        <v>494</v>
      </c>
      <c r="E70" s="47" t="s">
        <v>8</v>
      </c>
      <c r="F70" s="47" t="s">
        <v>367</v>
      </c>
      <c r="G70" s="97" t="s">
        <v>368</v>
      </c>
    </row>
    <row r="71" customFormat="false" ht="14.25" hidden="false" customHeight="false" outlineLevel="0" collapsed="false">
      <c r="A71" s="47" t="s">
        <v>6</v>
      </c>
      <c r="B71" s="47" t="n">
        <v>111172</v>
      </c>
      <c r="C71" s="47" t="s">
        <v>495</v>
      </c>
      <c r="D71" s="47" t="s">
        <v>496</v>
      </c>
      <c r="E71" s="47" t="s">
        <v>8</v>
      </c>
      <c r="F71" s="47" t="s">
        <v>367</v>
      </c>
      <c r="G71" s="97" t="s">
        <v>368</v>
      </c>
    </row>
    <row r="72" customFormat="false" ht="14.25" hidden="false" customHeight="false" outlineLevel="0" collapsed="false">
      <c r="A72" s="47" t="s">
        <v>6</v>
      </c>
      <c r="B72" s="47" t="n">
        <v>111172</v>
      </c>
      <c r="C72" s="47" t="s">
        <v>497</v>
      </c>
      <c r="D72" s="47" t="s">
        <v>498</v>
      </c>
      <c r="E72" s="47" t="s">
        <v>8</v>
      </c>
      <c r="F72" s="47" t="s">
        <v>367</v>
      </c>
      <c r="G72" s="97" t="s">
        <v>368</v>
      </c>
    </row>
    <row r="73" customFormat="false" ht="14.25" hidden="false" customHeight="false" outlineLevel="0" collapsed="false">
      <c r="A73" s="47" t="s">
        <v>6</v>
      </c>
      <c r="B73" s="47" t="n">
        <v>111172</v>
      </c>
      <c r="C73" s="47" t="s">
        <v>499</v>
      </c>
      <c r="D73" s="47" t="s">
        <v>500</v>
      </c>
      <c r="E73" s="47" t="s">
        <v>8</v>
      </c>
      <c r="F73" s="47" t="s">
        <v>367</v>
      </c>
      <c r="G73" s="97" t="s">
        <v>368</v>
      </c>
    </row>
    <row r="74" customFormat="false" ht="14.25" hidden="false" customHeight="false" outlineLevel="0" collapsed="false">
      <c r="A74" s="47" t="s">
        <v>6</v>
      </c>
      <c r="B74" s="47" t="n">
        <v>111172</v>
      </c>
      <c r="C74" s="47" t="s">
        <v>501</v>
      </c>
      <c r="D74" s="47" t="s">
        <v>502</v>
      </c>
      <c r="E74" s="47" t="s">
        <v>8</v>
      </c>
      <c r="F74" s="47" t="s">
        <v>367</v>
      </c>
      <c r="G74" s="97" t="s">
        <v>368</v>
      </c>
    </row>
    <row r="75" customFormat="false" ht="14.25" hidden="false" customHeight="false" outlineLevel="0" collapsed="false">
      <c r="A75" s="47" t="s">
        <v>6</v>
      </c>
      <c r="B75" s="47" t="n">
        <v>111172</v>
      </c>
      <c r="C75" s="47" t="s">
        <v>503</v>
      </c>
      <c r="D75" s="47" t="s">
        <v>504</v>
      </c>
      <c r="E75" s="47" t="s">
        <v>8</v>
      </c>
      <c r="F75" s="47" t="s">
        <v>367</v>
      </c>
      <c r="G75" s="97" t="s">
        <v>368</v>
      </c>
    </row>
    <row r="76" customFormat="false" ht="14.25" hidden="false" customHeight="false" outlineLevel="0" collapsed="false">
      <c r="A76" s="47" t="s">
        <v>6</v>
      </c>
      <c r="B76" s="47" t="n">
        <v>111172</v>
      </c>
      <c r="C76" s="47" t="s">
        <v>505</v>
      </c>
      <c r="D76" s="47" t="s">
        <v>506</v>
      </c>
      <c r="E76" s="47" t="s">
        <v>8</v>
      </c>
      <c r="F76" s="47" t="s">
        <v>367</v>
      </c>
      <c r="G76" s="97" t="s">
        <v>368</v>
      </c>
    </row>
    <row r="77" customFormat="false" ht="14.25" hidden="false" customHeight="false" outlineLevel="0" collapsed="false">
      <c r="A77" s="47" t="s">
        <v>6</v>
      </c>
      <c r="B77" s="47" t="n">
        <v>111172</v>
      </c>
      <c r="C77" s="47" t="s">
        <v>507</v>
      </c>
      <c r="D77" s="47" t="s">
        <v>508</v>
      </c>
      <c r="E77" s="47" t="s">
        <v>8</v>
      </c>
      <c r="F77" s="47" t="s">
        <v>374</v>
      </c>
      <c r="G77" s="97" t="s">
        <v>381</v>
      </c>
    </row>
    <row r="78" customFormat="false" ht="14.25" hidden="false" customHeight="false" outlineLevel="0" collapsed="false">
      <c r="A78" s="47" t="s">
        <v>6</v>
      </c>
      <c r="B78" s="47" t="n">
        <v>111172</v>
      </c>
      <c r="C78" s="47" t="s">
        <v>509</v>
      </c>
      <c r="D78" s="47" t="s">
        <v>510</v>
      </c>
      <c r="E78" s="47" t="s">
        <v>8</v>
      </c>
      <c r="F78" s="47" t="s">
        <v>374</v>
      </c>
      <c r="G78" s="97" t="s">
        <v>381</v>
      </c>
    </row>
    <row r="79" customFormat="false" ht="14.25" hidden="false" customHeight="false" outlineLevel="0" collapsed="false">
      <c r="A79" s="47" t="s">
        <v>6</v>
      </c>
      <c r="B79" s="47" t="n">
        <v>111172</v>
      </c>
      <c r="C79" s="47" t="s">
        <v>511</v>
      </c>
      <c r="D79" s="47" t="s">
        <v>512</v>
      </c>
      <c r="E79" s="47" t="s">
        <v>8</v>
      </c>
      <c r="F79" s="47" t="s">
        <v>367</v>
      </c>
      <c r="G79" s="97" t="s">
        <v>368</v>
      </c>
    </row>
    <row r="80" customFormat="false" ht="14.25" hidden="false" customHeight="false" outlineLevel="0" collapsed="false">
      <c r="A80" s="47" t="s">
        <v>6</v>
      </c>
      <c r="B80" s="47" t="n">
        <v>111172</v>
      </c>
      <c r="C80" s="47" t="s">
        <v>513</v>
      </c>
      <c r="D80" s="47" t="s">
        <v>514</v>
      </c>
      <c r="E80" s="47" t="s">
        <v>8</v>
      </c>
      <c r="F80" s="47" t="s">
        <v>367</v>
      </c>
      <c r="G80" s="97" t="s">
        <v>368</v>
      </c>
    </row>
    <row r="81" customFormat="false" ht="14.25" hidden="false" customHeight="false" outlineLevel="0" collapsed="false">
      <c r="A81" s="47" t="s">
        <v>6</v>
      </c>
      <c r="B81" s="47" t="n">
        <v>111172</v>
      </c>
      <c r="C81" s="47" t="s">
        <v>515</v>
      </c>
      <c r="D81" s="47" t="s">
        <v>516</v>
      </c>
      <c r="E81" s="47" t="s">
        <v>8</v>
      </c>
      <c r="F81" s="47" t="s">
        <v>367</v>
      </c>
      <c r="G81" s="97" t="s">
        <v>368</v>
      </c>
    </row>
    <row r="82" customFormat="false" ht="14.25" hidden="false" customHeight="false" outlineLevel="0" collapsed="false">
      <c r="A82" s="47" t="s">
        <v>6</v>
      </c>
      <c r="B82" s="47" t="n">
        <v>111172</v>
      </c>
      <c r="C82" s="47" t="s">
        <v>517</v>
      </c>
      <c r="D82" s="47" t="s">
        <v>518</v>
      </c>
      <c r="E82" s="47" t="s">
        <v>8</v>
      </c>
      <c r="F82" s="47" t="s">
        <v>367</v>
      </c>
      <c r="G82" s="97" t="s">
        <v>368</v>
      </c>
    </row>
    <row r="83" customFormat="false" ht="14.25" hidden="false" customHeight="false" outlineLevel="0" collapsed="false">
      <c r="A83" s="47" t="s">
        <v>6</v>
      </c>
      <c r="B83" s="47" t="n">
        <v>111172</v>
      </c>
      <c r="C83" s="47" t="s">
        <v>519</v>
      </c>
      <c r="D83" s="47" t="s">
        <v>520</v>
      </c>
      <c r="E83" s="47" t="s">
        <v>8</v>
      </c>
      <c r="F83" s="47" t="s">
        <v>367</v>
      </c>
      <c r="G83" s="97" t="s">
        <v>368</v>
      </c>
    </row>
    <row r="84" customFormat="false" ht="14.25" hidden="false" customHeight="false" outlineLevel="0" collapsed="false">
      <c r="A84" s="47" t="s">
        <v>6</v>
      </c>
      <c r="B84" s="47" t="n">
        <v>111172</v>
      </c>
      <c r="C84" s="47" t="s">
        <v>521</v>
      </c>
      <c r="D84" s="47" t="s">
        <v>522</v>
      </c>
      <c r="E84" s="47" t="s">
        <v>8</v>
      </c>
      <c r="F84" s="47" t="s">
        <v>374</v>
      </c>
      <c r="G84" s="97" t="s">
        <v>381</v>
      </c>
    </row>
    <row r="85" customFormat="false" ht="14.25" hidden="false" customHeight="false" outlineLevel="0" collapsed="false">
      <c r="A85" s="98" t="s">
        <v>276</v>
      </c>
      <c r="B85" s="98" t="n">
        <v>526970</v>
      </c>
      <c r="C85" s="98" t="s">
        <v>523</v>
      </c>
      <c r="D85" s="99" t="s">
        <v>524</v>
      </c>
      <c r="E85" s="98" t="s">
        <v>8</v>
      </c>
      <c r="F85" s="98" t="s">
        <v>374</v>
      </c>
      <c r="G85" s="97" t="s">
        <v>371</v>
      </c>
    </row>
    <row r="86" customFormat="false" ht="14.25" hidden="false" customHeight="false" outlineLevel="0" collapsed="false">
      <c r="A86" s="98" t="s">
        <v>276</v>
      </c>
      <c r="B86" s="98" t="n">
        <v>526970</v>
      </c>
      <c r="C86" s="98" t="s">
        <v>525</v>
      </c>
      <c r="D86" s="99" t="s">
        <v>526</v>
      </c>
      <c r="E86" s="98" t="s">
        <v>8</v>
      </c>
      <c r="F86" s="98" t="s">
        <v>367</v>
      </c>
      <c r="G86" s="97" t="s">
        <v>368</v>
      </c>
    </row>
    <row r="87" customFormat="false" ht="14.25" hidden="false" customHeight="false" outlineLevel="0" collapsed="false">
      <c r="A87" s="98" t="s">
        <v>276</v>
      </c>
      <c r="B87" s="98" t="n">
        <v>526970</v>
      </c>
      <c r="C87" s="98" t="s">
        <v>527</v>
      </c>
      <c r="D87" s="99" t="s">
        <v>528</v>
      </c>
      <c r="E87" s="98" t="s">
        <v>8</v>
      </c>
      <c r="F87" s="98" t="s">
        <v>367</v>
      </c>
      <c r="G87" s="97" t="s">
        <v>368</v>
      </c>
    </row>
    <row r="88" customFormat="false" ht="14.25" hidden="false" customHeight="false" outlineLevel="0" collapsed="false">
      <c r="A88" s="98" t="s">
        <v>276</v>
      </c>
      <c r="B88" s="98" t="n">
        <v>526970</v>
      </c>
      <c r="C88" s="98" t="s">
        <v>529</v>
      </c>
      <c r="D88" s="99" t="s">
        <v>530</v>
      </c>
      <c r="E88" s="98" t="s">
        <v>8</v>
      </c>
      <c r="F88" s="98" t="s">
        <v>367</v>
      </c>
      <c r="G88" s="97" t="s">
        <v>368</v>
      </c>
    </row>
    <row r="89" customFormat="false" ht="14.25" hidden="false" customHeight="false" outlineLevel="0" collapsed="false">
      <c r="A89" s="98" t="s">
        <v>276</v>
      </c>
      <c r="B89" s="98" t="n">
        <v>526970</v>
      </c>
      <c r="C89" s="98" t="s">
        <v>531</v>
      </c>
      <c r="D89" s="99" t="s">
        <v>532</v>
      </c>
      <c r="E89" s="98" t="s">
        <v>8</v>
      </c>
      <c r="F89" s="98" t="s">
        <v>367</v>
      </c>
      <c r="G89" s="97" t="s">
        <v>368</v>
      </c>
    </row>
    <row r="90" customFormat="false" ht="14.25" hidden="false" customHeight="false" outlineLevel="0" collapsed="false">
      <c r="A90" s="98" t="s">
        <v>276</v>
      </c>
      <c r="B90" s="98" t="n">
        <v>526970</v>
      </c>
      <c r="C90" s="98" t="s">
        <v>533</v>
      </c>
      <c r="D90" s="99" t="s">
        <v>534</v>
      </c>
      <c r="E90" s="98" t="s">
        <v>8</v>
      </c>
      <c r="F90" s="98" t="s">
        <v>367</v>
      </c>
      <c r="G90" s="97" t="s">
        <v>368</v>
      </c>
    </row>
    <row r="91" customFormat="false" ht="14.25" hidden="false" customHeight="false" outlineLevel="0" collapsed="false">
      <c r="A91" s="98" t="s">
        <v>276</v>
      </c>
      <c r="B91" s="98" t="n">
        <v>526970</v>
      </c>
      <c r="C91" s="98" t="s">
        <v>535</v>
      </c>
      <c r="D91" s="99" t="s">
        <v>536</v>
      </c>
      <c r="E91" s="98" t="s">
        <v>8</v>
      </c>
      <c r="F91" s="98" t="s">
        <v>374</v>
      </c>
      <c r="G91" s="97" t="s">
        <v>371</v>
      </c>
    </row>
    <row r="92" customFormat="false" ht="14.25" hidden="false" customHeight="false" outlineLevel="0" collapsed="false">
      <c r="A92" s="98" t="s">
        <v>276</v>
      </c>
      <c r="B92" s="98" t="n">
        <v>526970</v>
      </c>
      <c r="C92" s="98" t="s">
        <v>537</v>
      </c>
      <c r="D92" s="99" t="s">
        <v>538</v>
      </c>
      <c r="E92" s="98" t="s">
        <v>8</v>
      </c>
      <c r="F92" s="98" t="s">
        <v>374</v>
      </c>
      <c r="G92" s="97" t="s">
        <v>371</v>
      </c>
    </row>
    <row r="93" customFormat="false" ht="14.25" hidden="false" customHeight="false" outlineLevel="0" collapsed="false">
      <c r="A93" s="98" t="s">
        <v>276</v>
      </c>
      <c r="B93" s="98" t="n">
        <v>526970</v>
      </c>
      <c r="C93" s="98" t="s">
        <v>539</v>
      </c>
      <c r="D93" s="99" t="s">
        <v>540</v>
      </c>
      <c r="E93" s="98" t="s">
        <v>8</v>
      </c>
      <c r="F93" s="98" t="s">
        <v>374</v>
      </c>
      <c r="G93" s="97" t="s">
        <v>371</v>
      </c>
    </row>
    <row r="94" customFormat="false" ht="14.25" hidden="false" customHeight="false" outlineLevel="0" collapsed="false">
      <c r="A94" s="98" t="s">
        <v>276</v>
      </c>
      <c r="B94" s="98" t="n">
        <v>526970</v>
      </c>
      <c r="C94" s="98" t="s">
        <v>541</v>
      </c>
      <c r="D94" s="99" t="s">
        <v>542</v>
      </c>
      <c r="E94" s="98" t="s">
        <v>8</v>
      </c>
      <c r="F94" s="98" t="s">
        <v>374</v>
      </c>
      <c r="G94" s="97" t="s">
        <v>381</v>
      </c>
    </row>
    <row r="95" customFormat="false" ht="14.25" hidden="false" customHeight="false" outlineLevel="0" collapsed="false">
      <c r="A95" s="98" t="s">
        <v>276</v>
      </c>
      <c r="B95" s="98" t="n">
        <v>526970</v>
      </c>
      <c r="C95" s="98" t="s">
        <v>543</v>
      </c>
      <c r="D95" s="99" t="s">
        <v>544</v>
      </c>
      <c r="E95" s="98" t="s">
        <v>8</v>
      </c>
      <c r="F95" s="98" t="s">
        <v>374</v>
      </c>
      <c r="G95" s="97" t="s">
        <v>371</v>
      </c>
    </row>
    <row r="96" customFormat="false" ht="14.25" hidden="false" customHeight="false" outlineLevel="0" collapsed="false">
      <c r="A96" s="98" t="s">
        <v>276</v>
      </c>
      <c r="B96" s="98" t="n">
        <v>526970</v>
      </c>
      <c r="C96" s="98" t="s">
        <v>545</v>
      </c>
      <c r="D96" s="99" t="s">
        <v>546</v>
      </c>
      <c r="E96" s="98" t="s">
        <v>8</v>
      </c>
      <c r="F96" s="98" t="s">
        <v>374</v>
      </c>
      <c r="G96" s="97" t="s">
        <v>371</v>
      </c>
    </row>
    <row r="97" customFormat="false" ht="14.25" hidden="false" customHeight="false" outlineLevel="0" collapsed="false">
      <c r="A97" s="98" t="s">
        <v>276</v>
      </c>
      <c r="B97" s="98" t="n">
        <v>526970</v>
      </c>
      <c r="C97" s="98" t="s">
        <v>547</v>
      </c>
      <c r="D97" s="99" t="s">
        <v>548</v>
      </c>
      <c r="E97" s="98" t="s">
        <v>8</v>
      </c>
      <c r="F97" s="98" t="s">
        <v>374</v>
      </c>
      <c r="G97" s="97" t="s">
        <v>371</v>
      </c>
    </row>
    <row r="98" customFormat="false" ht="14.25" hidden="false" customHeight="false" outlineLevel="0" collapsed="false">
      <c r="A98" s="98" t="s">
        <v>276</v>
      </c>
      <c r="B98" s="98" t="n">
        <v>526970</v>
      </c>
      <c r="C98" s="98" t="s">
        <v>549</v>
      </c>
      <c r="D98" s="99" t="s">
        <v>550</v>
      </c>
      <c r="E98" s="98" t="s">
        <v>8</v>
      </c>
      <c r="F98" s="98" t="s">
        <v>374</v>
      </c>
      <c r="G98" s="97" t="s">
        <v>371</v>
      </c>
    </row>
    <row r="99" customFormat="false" ht="14.25" hidden="false" customHeight="false" outlineLevel="0" collapsed="false">
      <c r="A99" s="98" t="s">
        <v>276</v>
      </c>
      <c r="B99" s="98" t="n">
        <v>526970</v>
      </c>
      <c r="C99" s="98" t="s">
        <v>551</v>
      </c>
      <c r="D99" s="99" t="s">
        <v>552</v>
      </c>
      <c r="E99" s="98" t="s">
        <v>8</v>
      </c>
      <c r="F99" s="98" t="s">
        <v>374</v>
      </c>
      <c r="G99" s="97" t="s">
        <v>381</v>
      </c>
    </row>
    <row r="100" customFormat="false" ht="14.25" hidden="false" customHeight="false" outlineLevel="0" collapsed="false">
      <c r="A100" s="98" t="s">
        <v>276</v>
      </c>
      <c r="B100" s="98" t="n">
        <v>526970</v>
      </c>
      <c r="C100" s="98" t="s">
        <v>553</v>
      </c>
      <c r="D100" s="99" t="s">
        <v>554</v>
      </c>
      <c r="E100" s="98" t="s">
        <v>8</v>
      </c>
      <c r="F100" s="98" t="s">
        <v>374</v>
      </c>
      <c r="G100" s="97" t="s">
        <v>371</v>
      </c>
    </row>
    <row r="101" customFormat="false" ht="14.25" hidden="false" customHeight="false" outlineLevel="0" collapsed="false">
      <c r="A101" s="98" t="s">
        <v>276</v>
      </c>
      <c r="B101" s="98" t="n">
        <v>526970</v>
      </c>
      <c r="C101" s="98" t="s">
        <v>555</v>
      </c>
      <c r="D101" s="99" t="s">
        <v>556</v>
      </c>
      <c r="E101" s="98" t="s">
        <v>8</v>
      </c>
      <c r="F101" s="98" t="s">
        <v>374</v>
      </c>
      <c r="G101" s="97" t="s">
        <v>381</v>
      </c>
    </row>
    <row r="102" customFormat="false" ht="14.25" hidden="false" customHeight="false" outlineLevel="0" collapsed="false">
      <c r="A102" s="98" t="s">
        <v>276</v>
      </c>
      <c r="B102" s="98" t="n">
        <v>526970</v>
      </c>
      <c r="C102" s="98" t="s">
        <v>557</v>
      </c>
      <c r="D102" s="98" t="s">
        <v>558</v>
      </c>
      <c r="E102" s="98" t="s">
        <v>8</v>
      </c>
      <c r="F102" s="98" t="s">
        <v>367</v>
      </c>
      <c r="G102" s="97" t="s">
        <v>368</v>
      </c>
    </row>
    <row r="103" customFormat="false" ht="14.25" hidden="false" customHeight="false" outlineLevel="0" collapsed="false">
      <c r="A103" s="98" t="s">
        <v>276</v>
      </c>
      <c r="B103" s="98" t="n">
        <v>526970</v>
      </c>
      <c r="C103" s="98" t="s">
        <v>551</v>
      </c>
      <c r="D103" s="99" t="s">
        <v>552</v>
      </c>
      <c r="E103" s="98" t="s">
        <v>8</v>
      </c>
      <c r="F103" s="98" t="s">
        <v>367</v>
      </c>
      <c r="G103" s="97" t="s">
        <v>381</v>
      </c>
    </row>
    <row r="104" customFormat="false" ht="14.25" hidden="false" customHeight="false" outlineLevel="0" collapsed="false">
      <c r="A104" s="98" t="s">
        <v>276</v>
      </c>
      <c r="B104" s="98" t="n">
        <v>526970</v>
      </c>
      <c r="C104" s="98" t="s">
        <v>559</v>
      </c>
      <c r="D104" s="99" t="s">
        <v>560</v>
      </c>
      <c r="E104" s="47" t="s">
        <v>8</v>
      </c>
      <c r="F104" s="98" t="s">
        <v>367</v>
      </c>
      <c r="G104" s="97" t="s">
        <v>368</v>
      </c>
    </row>
    <row r="105" customFormat="false" ht="14.25" hidden="false" customHeight="false" outlineLevel="0" collapsed="false">
      <c r="A105" s="47" t="s">
        <v>561</v>
      </c>
      <c r="B105" s="47" t="n">
        <v>7</v>
      </c>
      <c r="C105" s="47" t="s">
        <v>562</v>
      </c>
      <c r="D105" s="47" t="s">
        <v>563</v>
      </c>
      <c r="E105" s="47" t="s">
        <v>8</v>
      </c>
      <c r="F105" s="47" t="s">
        <v>367</v>
      </c>
      <c r="G105" s="97" t="s">
        <v>368</v>
      </c>
    </row>
    <row r="106" customFormat="false" ht="14.25" hidden="false" customHeight="false" outlineLevel="0" collapsed="false">
      <c r="A106" s="47" t="s">
        <v>561</v>
      </c>
      <c r="B106" s="47" t="n">
        <v>7</v>
      </c>
      <c r="C106" s="47" t="s">
        <v>564</v>
      </c>
      <c r="D106" s="47" t="s">
        <v>565</v>
      </c>
      <c r="E106" s="47" t="s">
        <v>8</v>
      </c>
      <c r="F106" s="47" t="s">
        <v>374</v>
      </c>
      <c r="G106" s="97" t="s">
        <v>392</v>
      </c>
    </row>
    <row r="107" customFormat="false" ht="14.25" hidden="false" customHeight="false" outlineLevel="0" collapsed="false">
      <c r="A107" s="47" t="s">
        <v>561</v>
      </c>
      <c r="B107" s="47" t="n">
        <v>7</v>
      </c>
      <c r="C107" s="47" t="s">
        <v>566</v>
      </c>
      <c r="D107" s="47" t="s">
        <v>567</v>
      </c>
      <c r="E107" s="47" t="s">
        <v>8</v>
      </c>
      <c r="F107" s="47" t="s">
        <v>374</v>
      </c>
      <c r="G107" s="97" t="s">
        <v>381</v>
      </c>
    </row>
    <row r="108" customFormat="false" ht="14.25" hidden="false" customHeight="false" outlineLevel="0" collapsed="false">
      <c r="A108" s="47" t="s">
        <v>561</v>
      </c>
      <c r="B108" s="47" t="n">
        <v>7</v>
      </c>
      <c r="C108" s="47" t="s">
        <v>568</v>
      </c>
      <c r="D108" s="47" t="s">
        <v>569</v>
      </c>
      <c r="E108" s="47" t="s">
        <v>8</v>
      </c>
      <c r="F108" s="47" t="s">
        <v>374</v>
      </c>
      <c r="G108" s="97" t="s">
        <v>371</v>
      </c>
    </row>
    <row r="109" customFormat="false" ht="14.25" hidden="false" customHeight="false" outlineLevel="0" collapsed="false">
      <c r="A109" s="47" t="s">
        <v>561</v>
      </c>
      <c r="B109" s="47" t="n">
        <v>7</v>
      </c>
      <c r="C109" s="47" t="s">
        <v>570</v>
      </c>
      <c r="D109" s="47" t="s">
        <v>571</v>
      </c>
      <c r="E109" s="47" t="s">
        <v>8</v>
      </c>
      <c r="F109" s="47" t="s">
        <v>367</v>
      </c>
      <c r="G109" s="97" t="s">
        <v>368</v>
      </c>
    </row>
    <row r="110" customFormat="false" ht="14.25" hidden="false" customHeight="false" outlineLevel="0" collapsed="false">
      <c r="A110" s="47" t="s">
        <v>561</v>
      </c>
      <c r="B110" s="47" t="n">
        <v>7</v>
      </c>
      <c r="C110" s="47" t="s">
        <v>572</v>
      </c>
      <c r="D110" s="47" t="s">
        <v>573</v>
      </c>
      <c r="E110" s="47" t="s">
        <v>8</v>
      </c>
      <c r="F110" s="47" t="s">
        <v>374</v>
      </c>
      <c r="G110" s="97" t="s">
        <v>381</v>
      </c>
    </row>
    <row r="111" customFormat="false" ht="14.25" hidden="false" customHeight="false" outlineLevel="0" collapsed="false">
      <c r="A111" s="47" t="s">
        <v>561</v>
      </c>
      <c r="B111" s="47" t="n">
        <v>7</v>
      </c>
      <c r="C111" s="47" t="s">
        <v>574</v>
      </c>
      <c r="D111" s="47" t="s">
        <v>575</v>
      </c>
      <c r="E111" s="47" t="s">
        <v>8</v>
      </c>
      <c r="F111" s="47" t="s">
        <v>374</v>
      </c>
      <c r="G111" s="97" t="s">
        <v>381</v>
      </c>
    </row>
    <row r="112" customFormat="false" ht="14.25" hidden="false" customHeight="false" outlineLevel="0" collapsed="false">
      <c r="A112" s="47" t="s">
        <v>561</v>
      </c>
      <c r="B112" s="47" t="n">
        <v>7</v>
      </c>
      <c r="C112" s="47" t="s">
        <v>576</v>
      </c>
      <c r="D112" s="47" t="s">
        <v>577</v>
      </c>
      <c r="E112" s="47" t="s">
        <v>8</v>
      </c>
      <c r="F112" s="47" t="s">
        <v>374</v>
      </c>
      <c r="G112" s="97" t="s">
        <v>578</v>
      </c>
    </row>
    <row r="113" customFormat="false" ht="14.25" hidden="false" customHeight="false" outlineLevel="0" collapsed="false">
      <c r="A113" s="47" t="s">
        <v>561</v>
      </c>
      <c r="B113" s="47" t="n">
        <v>7</v>
      </c>
      <c r="C113" s="47" t="s">
        <v>579</v>
      </c>
      <c r="D113" s="47" t="s">
        <v>580</v>
      </c>
      <c r="E113" s="47" t="s">
        <v>8</v>
      </c>
      <c r="F113" s="47" t="s">
        <v>374</v>
      </c>
      <c r="G113" s="97" t="s">
        <v>381</v>
      </c>
    </row>
    <row r="114" customFormat="false" ht="14.25" hidden="false" customHeight="false" outlineLevel="0" collapsed="false">
      <c r="A114" s="47" t="s">
        <v>561</v>
      </c>
      <c r="B114" s="47" t="n">
        <v>7</v>
      </c>
      <c r="C114" s="47" t="s">
        <v>581</v>
      </c>
      <c r="D114" s="47" t="s">
        <v>582</v>
      </c>
      <c r="E114" s="47" t="s">
        <v>8</v>
      </c>
      <c r="F114" s="47" t="s">
        <v>374</v>
      </c>
      <c r="G114" s="97" t="s">
        <v>578</v>
      </c>
    </row>
    <row r="115" customFormat="false" ht="14.25" hidden="false" customHeight="false" outlineLevel="0" collapsed="false">
      <c r="A115" s="47" t="s">
        <v>561</v>
      </c>
      <c r="B115" s="47" t="n">
        <v>7</v>
      </c>
      <c r="C115" s="47" t="s">
        <v>583</v>
      </c>
      <c r="D115" s="47" t="s">
        <v>584</v>
      </c>
      <c r="E115" s="47" t="s">
        <v>8</v>
      </c>
      <c r="F115" s="47" t="s">
        <v>374</v>
      </c>
      <c r="G115" s="97" t="s">
        <v>381</v>
      </c>
    </row>
    <row r="116" customFormat="false" ht="14.25" hidden="false" customHeight="false" outlineLevel="0" collapsed="false">
      <c r="A116" s="47" t="s">
        <v>561</v>
      </c>
      <c r="B116" s="47" t="n">
        <v>7</v>
      </c>
      <c r="C116" s="47" t="s">
        <v>585</v>
      </c>
      <c r="D116" s="47" t="s">
        <v>586</v>
      </c>
      <c r="E116" s="47" t="s">
        <v>8</v>
      </c>
      <c r="F116" s="47" t="s">
        <v>374</v>
      </c>
      <c r="G116" s="97" t="s">
        <v>381</v>
      </c>
    </row>
    <row r="117" customFormat="false" ht="14.25" hidden="false" customHeight="false" outlineLevel="0" collapsed="false">
      <c r="A117" s="47" t="s">
        <v>561</v>
      </c>
      <c r="B117" s="47" t="n">
        <v>7</v>
      </c>
      <c r="C117" s="47" t="s">
        <v>587</v>
      </c>
      <c r="D117" s="47" t="s">
        <v>588</v>
      </c>
      <c r="E117" s="47" t="s">
        <v>8</v>
      </c>
      <c r="F117" s="47" t="s">
        <v>374</v>
      </c>
      <c r="G117" s="97" t="s">
        <v>381</v>
      </c>
    </row>
    <row r="118" customFormat="false" ht="14.25" hidden="false" customHeight="false" outlineLevel="0" collapsed="false">
      <c r="A118" s="47" t="s">
        <v>561</v>
      </c>
      <c r="B118" s="47" t="n">
        <v>7</v>
      </c>
      <c r="C118" s="47" t="s">
        <v>589</v>
      </c>
      <c r="D118" s="47" t="s">
        <v>590</v>
      </c>
      <c r="E118" s="47" t="s">
        <v>8</v>
      </c>
      <c r="F118" s="47" t="s">
        <v>374</v>
      </c>
      <c r="G118" s="97" t="s">
        <v>392</v>
      </c>
    </row>
    <row r="119" customFormat="false" ht="14.25" hidden="false" customHeight="false" outlineLevel="0" collapsed="false">
      <c r="A119" s="47" t="s">
        <v>561</v>
      </c>
      <c r="B119" s="47" t="n">
        <v>7</v>
      </c>
      <c r="C119" s="47" t="s">
        <v>591</v>
      </c>
      <c r="D119" s="47" t="s">
        <v>592</v>
      </c>
      <c r="E119" s="47" t="s">
        <v>8</v>
      </c>
      <c r="F119" s="47" t="s">
        <v>374</v>
      </c>
      <c r="G119" s="97" t="s">
        <v>578</v>
      </c>
    </row>
    <row r="120" customFormat="false" ht="14.25" hidden="false" customHeight="false" outlineLevel="0" collapsed="false">
      <c r="A120" s="47" t="s">
        <v>561</v>
      </c>
      <c r="B120" s="47" t="n">
        <v>7</v>
      </c>
      <c r="C120" s="47" t="s">
        <v>593</v>
      </c>
      <c r="D120" s="47" t="s">
        <v>594</v>
      </c>
      <c r="E120" s="47" t="s">
        <v>8</v>
      </c>
      <c r="F120" s="47" t="s">
        <v>367</v>
      </c>
      <c r="G120" s="97" t="s">
        <v>368</v>
      </c>
    </row>
    <row r="121" customFormat="false" ht="14.25" hidden="false" customHeight="false" outlineLevel="0" collapsed="false">
      <c r="A121" s="47" t="s">
        <v>561</v>
      </c>
      <c r="B121" s="47" t="n">
        <v>7</v>
      </c>
      <c r="C121" s="47" t="s">
        <v>595</v>
      </c>
      <c r="D121" s="47" t="s">
        <v>596</v>
      </c>
      <c r="E121" s="47" t="s">
        <v>8</v>
      </c>
      <c r="F121" s="47" t="s">
        <v>367</v>
      </c>
      <c r="G121" s="97" t="s">
        <v>368</v>
      </c>
    </row>
    <row r="122" customFormat="false" ht="14.25" hidden="false" customHeight="false" outlineLevel="0" collapsed="false">
      <c r="A122" s="47" t="s">
        <v>561</v>
      </c>
      <c r="B122" s="47" t="n">
        <v>7</v>
      </c>
      <c r="C122" s="47" t="s">
        <v>597</v>
      </c>
      <c r="D122" s="47" t="s">
        <v>456</v>
      </c>
      <c r="E122" s="47" t="s">
        <v>8</v>
      </c>
      <c r="F122" s="47" t="s">
        <v>374</v>
      </c>
      <c r="G122" s="97" t="s">
        <v>578</v>
      </c>
    </row>
    <row r="123" customFormat="false" ht="14.25" hidden="false" customHeight="false" outlineLevel="0" collapsed="false">
      <c r="A123" s="47" t="s">
        <v>561</v>
      </c>
      <c r="B123" s="47" t="n">
        <v>7</v>
      </c>
      <c r="C123" s="47" t="s">
        <v>598</v>
      </c>
      <c r="D123" s="47" t="s">
        <v>599</v>
      </c>
      <c r="E123" s="47" t="s">
        <v>8</v>
      </c>
      <c r="F123" s="47" t="s">
        <v>374</v>
      </c>
      <c r="G123" s="97" t="s">
        <v>392</v>
      </c>
    </row>
    <row r="124" customFormat="false" ht="14.25" hidden="false" customHeight="false" outlineLevel="0" collapsed="false">
      <c r="A124" s="47" t="s">
        <v>561</v>
      </c>
      <c r="B124" s="47" t="n">
        <v>7</v>
      </c>
      <c r="C124" s="47" t="s">
        <v>600</v>
      </c>
      <c r="D124" s="47" t="s">
        <v>601</v>
      </c>
      <c r="E124" s="47" t="s">
        <v>8</v>
      </c>
      <c r="F124" s="47" t="s">
        <v>367</v>
      </c>
      <c r="G124" s="97" t="s">
        <v>368</v>
      </c>
    </row>
    <row r="125" customFormat="false" ht="14.25" hidden="false" customHeight="false" outlineLevel="0" collapsed="false">
      <c r="A125" s="47" t="s">
        <v>561</v>
      </c>
      <c r="B125" s="47" t="n">
        <v>7</v>
      </c>
      <c r="C125" s="47" t="s">
        <v>602</v>
      </c>
      <c r="D125" s="47" t="s">
        <v>603</v>
      </c>
      <c r="E125" s="47" t="s">
        <v>8</v>
      </c>
      <c r="F125" s="47" t="s">
        <v>374</v>
      </c>
      <c r="G125" s="97" t="s">
        <v>381</v>
      </c>
    </row>
    <row r="126" customFormat="false" ht="14.25" hidden="false" customHeight="false" outlineLevel="0" collapsed="false">
      <c r="A126" s="47" t="s">
        <v>561</v>
      </c>
      <c r="B126" s="47" t="n">
        <v>7</v>
      </c>
      <c r="C126" s="47" t="s">
        <v>604</v>
      </c>
      <c r="D126" s="47" t="s">
        <v>605</v>
      </c>
      <c r="E126" s="47" t="s">
        <v>8</v>
      </c>
      <c r="F126" s="47" t="s">
        <v>374</v>
      </c>
      <c r="G126" s="97" t="s">
        <v>381</v>
      </c>
    </row>
    <row r="127" customFormat="false" ht="14.25" hidden="false" customHeight="false" outlineLevel="0" collapsed="false">
      <c r="A127" s="47" t="s">
        <v>561</v>
      </c>
      <c r="B127" s="47" t="n">
        <v>7</v>
      </c>
      <c r="C127" s="47" t="s">
        <v>606</v>
      </c>
      <c r="D127" s="47" t="s">
        <v>607</v>
      </c>
      <c r="E127" s="47" t="s">
        <v>8</v>
      </c>
      <c r="F127" s="47" t="s">
        <v>367</v>
      </c>
      <c r="G127" s="97" t="s">
        <v>368</v>
      </c>
    </row>
    <row r="128" customFormat="false" ht="14.25" hidden="false" customHeight="false" outlineLevel="0" collapsed="false">
      <c r="A128" s="47" t="s">
        <v>561</v>
      </c>
      <c r="B128" s="47" t="n">
        <v>7</v>
      </c>
      <c r="C128" s="47" t="s">
        <v>608</v>
      </c>
      <c r="D128" s="47" t="s">
        <v>609</v>
      </c>
      <c r="E128" s="47" t="s">
        <v>8</v>
      </c>
      <c r="F128" s="47" t="s">
        <v>367</v>
      </c>
      <c r="G128" s="97" t="s">
        <v>368</v>
      </c>
    </row>
    <row r="129" customFormat="false" ht="14.25" hidden="false" customHeight="false" outlineLevel="0" collapsed="false">
      <c r="A129" s="47" t="s">
        <v>561</v>
      </c>
      <c r="B129" s="47" t="n">
        <v>7</v>
      </c>
      <c r="C129" s="47" t="s">
        <v>610</v>
      </c>
      <c r="D129" s="47" t="s">
        <v>611</v>
      </c>
      <c r="E129" s="47" t="s">
        <v>8</v>
      </c>
      <c r="F129" s="47" t="s">
        <v>367</v>
      </c>
      <c r="G129" s="97" t="s">
        <v>368</v>
      </c>
    </row>
    <row r="130" customFormat="false" ht="14.25" hidden="false" customHeight="false" outlineLevel="0" collapsed="false">
      <c r="A130" s="47" t="s">
        <v>561</v>
      </c>
      <c r="B130" s="47" t="n">
        <v>7</v>
      </c>
      <c r="C130" s="47" t="s">
        <v>612</v>
      </c>
      <c r="D130" s="47" t="s">
        <v>613</v>
      </c>
      <c r="E130" s="47" t="s">
        <v>8</v>
      </c>
      <c r="F130" s="47" t="s">
        <v>367</v>
      </c>
      <c r="G130" s="97" t="s">
        <v>368</v>
      </c>
    </row>
    <row r="131" customFormat="false" ht="14.25" hidden="false" customHeight="false" outlineLevel="0" collapsed="false">
      <c r="A131" s="47" t="s">
        <v>561</v>
      </c>
      <c r="B131" s="47" t="n">
        <v>7</v>
      </c>
      <c r="C131" s="47" t="s">
        <v>614</v>
      </c>
      <c r="D131" s="47" t="s">
        <v>615</v>
      </c>
      <c r="E131" s="47" t="s">
        <v>8</v>
      </c>
      <c r="F131" s="47" t="s">
        <v>374</v>
      </c>
      <c r="G131" s="97" t="s">
        <v>392</v>
      </c>
    </row>
    <row r="132" customFormat="false" ht="14.25" hidden="false" customHeight="false" outlineLevel="0" collapsed="false">
      <c r="A132" s="47" t="s">
        <v>561</v>
      </c>
      <c r="B132" s="47" t="n">
        <v>7</v>
      </c>
      <c r="C132" s="47" t="s">
        <v>616</v>
      </c>
      <c r="D132" s="47" t="s">
        <v>617</v>
      </c>
      <c r="E132" s="47" t="s">
        <v>8</v>
      </c>
      <c r="F132" s="47" t="s">
        <v>367</v>
      </c>
      <c r="G132" s="97" t="s">
        <v>368</v>
      </c>
    </row>
    <row r="133" customFormat="false" ht="14.25" hidden="false" customHeight="false" outlineLevel="0" collapsed="false">
      <c r="A133" s="47" t="s">
        <v>561</v>
      </c>
      <c r="B133" s="47" t="n">
        <v>7</v>
      </c>
      <c r="C133" s="47" t="s">
        <v>618</v>
      </c>
      <c r="D133" s="47" t="s">
        <v>619</v>
      </c>
      <c r="E133" s="47" t="s">
        <v>8</v>
      </c>
      <c r="F133" s="47" t="s">
        <v>367</v>
      </c>
      <c r="G133" s="97" t="s">
        <v>368</v>
      </c>
    </row>
    <row r="134" customFormat="false" ht="14.25" hidden="false" customHeight="false" outlineLevel="0" collapsed="false">
      <c r="A134" s="47" t="s">
        <v>561</v>
      </c>
      <c r="B134" s="47" t="n">
        <v>7</v>
      </c>
      <c r="C134" s="47" t="s">
        <v>620</v>
      </c>
      <c r="D134" s="47" t="s">
        <v>621</v>
      </c>
      <c r="E134" s="47" t="s">
        <v>8</v>
      </c>
      <c r="F134" s="47" t="s">
        <v>367</v>
      </c>
      <c r="G134" s="97" t="s">
        <v>368</v>
      </c>
    </row>
    <row r="135" customFormat="false" ht="14.25" hidden="false" customHeight="false" outlineLevel="0" collapsed="false">
      <c r="A135" s="47" t="s">
        <v>561</v>
      </c>
      <c r="B135" s="47" t="n">
        <v>7</v>
      </c>
      <c r="C135" s="47" t="s">
        <v>622</v>
      </c>
      <c r="D135" s="47" t="s">
        <v>623</v>
      </c>
      <c r="E135" s="47" t="s">
        <v>8</v>
      </c>
      <c r="F135" s="47" t="s">
        <v>374</v>
      </c>
      <c r="G135" s="97" t="s">
        <v>578</v>
      </c>
    </row>
    <row r="136" customFormat="false" ht="14.25" hidden="false" customHeight="false" outlineLevel="0" collapsed="false">
      <c r="A136" s="47" t="s">
        <v>561</v>
      </c>
      <c r="B136" s="47" t="n">
        <v>7</v>
      </c>
      <c r="C136" s="47" t="s">
        <v>624</v>
      </c>
      <c r="D136" s="47" t="s">
        <v>625</v>
      </c>
      <c r="E136" s="47" t="s">
        <v>8</v>
      </c>
      <c r="F136" s="47" t="s">
        <v>374</v>
      </c>
      <c r="G136" s="97" t="s">
        <v>392</v>
      </c>
    </row>
    <row r="137" customFormat="false" ht="14.25" hidden="false" customHeight="false" outlineLevel="0" collapsed="false">
      <c r="A137" s="47" t="s">
        <v>561</v>
      </c>
      <c r="B137" s="47" t="n">
        <v>7</v>
      </c>
      <c r="C137" s="47" t="s">
        <v>626</v>
      </c>
      <c r="D137" s="47" t="s">
        <v>627</v>
      </c>
      <c r="E137" s="47" t="s">
        <v>8</v>
      </c>
      <c r="F137" s="47" t="s">
        <v>367</v>
      </c>
      <c r="G137" s="97" t="s">
        <v>368</v>
      </c>
    </row>
    <row r="138" customFormat="false" ht="14.25" hidden="false" customHeight="false" outlineLevel="0" collapsed="false">
      <c r="A138" s="47" t="s">
        <v>561</v>
      </c>
      <c r="B138" s="47" t="n">
        <v>7</v>
      </c>
      <c r="C138" s="47" t="s">
        <v>628</v>
      </c>
      <c r="D138" s="47" t="s">
        <v>629</v>
      </c>
      <c r="E138" s="47" t="s">
        <v>8</v>
      </c>
      <c r="F138" s="47" t="s">
        <v>374</v>
      </c>
      <c r="G138" s="97" t="s">
        <v>578</v>
      </c>
    </row>
    <row r="139" customFormat="false" ht="14.25" hidden="false" customHeight="false" outlineLevel="0" collapsed="false">
      <c r="A139" s="47" t="s">
        <v>561</v>
      </c>
      <c r="B139" s="47" t="n">
        <v>7</v>
      </c>
      <c r="C139" s="47" t="s">
        <v>630</v>
      </c>
      <c r="D139" s="47" t="s">
        <v>631</v>
      </c>
      <c r="E139" s="47" t="s">
        <v>8</v>
      </c>
      <c r="F139" s="47" t="s">
        <v>367</v>
      </c>
      <c r="G139" s="97" t="s">
        <v>368</v>
      </c>
    </row>
    <row r="140" customFormat="false" ht="14.25" hidden="false" customHeight="false" outlineLevel="0" collapsed="false">
      <c r="A140" s="47" t="s">
        <v>561</v>
      </c>
      <c r="B140" s="47" t="n">
        <v>7</v>
      </c>
      <c r="C140" s="47" t="s">
        <v>632</v>
      </c>
      <c r="D140" s="47" t="s">
        <v>633</v>
      </c>
      <c r="E140" s="47" t="s">
        <v>8</v>
      </c>
      <c r="F140" s="47" t="s">
        <v>367</v>
      </c>
      <c r="G140" s="97" t="s">
        <v>368</v>
      </c>
    </row>
    <row r="141" customFormat="false" ht="14.25" hidden="false" customHeight="false" outlineLevel="0" collapsed="false">
      <c r="A141" s="47" t="s">
        <v>561</v>
      </c>
      <c r="B141" s="47" t="n">
        <v>7</v>
      </c>
      <c r="C141" s="47" t="s">
        <v>634</v>
      </c>
      <c r="D141" s="47" t="s">
        <v>635</v>
      </c>
      <c r="E141" s="47" t="s">
        <v>8</v>
      </c>
      <c r="F141" s="47" t="s">
        <v>367</v>
      </c>
      <c r="G141" s="97" t="s">
        <v>368</v>
      </c>
    </row>
    <row r="142" customFormat="false" ht="14.25" hidden="false" customHeight="false" outlineLevel="0" collapsed="false">
      <c r="A142" s="47" t="s">
        <v>561</v>
      </c>
      <c r="B142" s="47" t="n">
        <v>7</v>
      </c>
      <c r="C142" s="47" t="s">
        <v>636</v>
      </c>
      <c r="D142" s="47" t="s">
        <v>637</v>
      </c>
      <c r="E142" s="47" t="s">
        <v>8</v>
      </c>
      <c r="F142" s="47" t="s">
        <v>374</v>
      </c>
      <c r="G142" s="97" t="s">
        <v>392</v>
      </c>
    </row>
    <row r="143" customFormat="false" ht="14.25" hidden="false" customHeight="false" outlineLevel="0" collapsed="false">
      <c r="A143" s="47" t="s">
        <v>561</v>
      </c>
      <c r="B143" s="47" t="n">
        <v>7</v>
      </c>
      <c r="C143" s="47" t="s">
        <v>638</v>
      </c>
      <c r="D143" s="47" t="s">
        <v>639</v>
      </c>
      <c r="E143" s="47" t="s">
        <v>8</v>
      </c>
      <c r="F143" s="47" t="s">
        <v>374</v>
      </c>
      <c r="G143" s="97" t="s">
        <v>578</v>
      </c>
    </row>
    <row r="144" customFormat="false" ht="14.25" hidden="false" customHeight="false" outlineLevel="0" collapsed="false">
      <c r="A144" s="47" t="s">
        <v>561</v>
      </c>
      <c r="B144" s="47" t="n">
        <v>7</v>
      </c>
      <c r="C144" s="47" t="s">
        <v>640</v>
      </c>
      <c r="D144" s="47" t="s">
        <v>641</v>
      </c>
      <c r="E144" s="47" t="s">
        <v>8</v>
      </c>
      <c r="F144" s="47" t="s">
        <v>367</v>
      </c>
      <c r="G144" s="97" t="s">
        <v>368</v>
      </c>
    </row>
    <row r="145" customFormat="false" ht="14.25" hidden="false" customHeight="false" outlineLevel="0" collapsed="false">
      <c r="A145" s="47" t="s">
        <v>561</v>
      </c>
      <c r="B145" s="47" t="n">
        <v>7</v>
      </c>
      <c r="C145" s="47" t="s">
        <v>642</v>
      </c>
      <c r="D145" s="47" t="s">
        <v>643</v>
      </c>
      <c r="E145" s="47" t="s">
        <v>8</v>
      </c>
      <c r="F145" s="47" t="s">
        <v>367</v>
      </c>
      <c r="G145" s="97" t="s">
        <v>368</v>
      </c>
    </row>
    <row r="146" customFormat="false" ht="14.25" hidden="false" customHeight="false" outlineLevel="0" collapsed="false">
      <c r="A146" s="47" t="s">
        <v>561</v>
      </c>
      <c r="B146" s="47" t="n">
        <v>7</v>
      </c>
      <c r="C146" s="47" t="s">
        <v>644</v>
      </c>
      <c r="D146" s="47" t="s">
        <v>645</v>
      </c>
      <c r="E146" s="47" t="s">
        <v>8</v>
      </c>
      <c r="F146" s="47" t="s">
        <v>367</v>
      </c>
      <c r="G146" s="97" t="s">
        <v>368</v>
      </c>
    </row>
    <row r="147" customFormat="false" ht="14.25" hidden="false" customHeight="false" outlineLevel="0" collapsed="false">
      <c r="A147" s="47" t="s">
        <v>561</v>
      </c>
      <c r="B147" s="47" t="n">
        <v>7</v>
      </c>
      <c r="C147" s="47" t="s">
        <v>646</v>
      </c>
      <c r="D147" s="47" t="s">
        <v>647</v>
      </c>
      <c r="E147" s="47" t="s">
        <v>8</v>
      </c>
      <c r="F147" s="47" t="s">
        <v>374</v>
      </c>
      <c r="G147" s="97" t="s">
        <v>381</v>
      </c>
    </row>
    <row r="148" customFormat="false" ht="14.25" hidden="false" customHeight="false" outlineLevel="0" collapsed="false">
      <c r="A148" s="47" t="s">
        <v>561</v>
      </c>
      <c r="B148" s="47" t="n">
        <v>7</v>
      </c>
      <c r="C148" s="47" t="s">
        <v>648</v>
      </c>
      <c r="D148" s="47" t="s">
        <v>649</v>
      </c>
      <c r="E148" s="47" t="s">
        <v>8</v>
      </c>
      <c r="F148" s="47" t="s">
        <v>367</v>
      </c>
      <c r="G148" s="97" t="s">
        <v>368</v>
      </c>
    </row>
    <row r="149" customFormat="false" ht="14.25" hidden="false" customHeight="false" outlineLevel="0" collapsed="false">
      <c r="A149" s="47" t="s">
        <v>561</v>
      </c>
      <c r="B149" s="47" t="n">
        <v>7</v>
      </c>
      <c r="C149" s="47" t="s">
        <v>650</v>
      </c>
      <c r="D149" s="47" t="s">
        <v>651</v>
      </c>
      <c r="E149" s="47" t="s">
        <v>8</v>
      </c>
      <c r="F149" s="47" t="s">
        <v>367</v>
      </c>
      <c r="G149" s="97" t="s">
        <v>368</v>
      </c>
    </row>
    <row r="150" customFormat="false" ht="14.25" hidden="false" customHeight="false" outlineLevel="0" collapsed="false">
      <c r="A150" s="47" t="s">
        <v>561</v>
      </c>
      <c r="B150" s="47" t="n">
        <v>7</v>
      </c>
      <c r="C150" s="47" t="s">
        <v>652</v>
      </c>
      <c r="D150" s="47" t="s">
        <v>653</v>
      </c>
      <c r="E150" s="47" t="s">
        <v>8</v>
      </c>
      <c r="F150" s="47" t="s">
        <v>374</v>
      </c>
      <c r="G150" s="97" t="s">
        <v>381</v>
      </c>
    </row>
    <row r="151" customFormat="false" ht="14.25" hidden="false" customHeight="false" outlineLevel="0" collapsed="false">
      <c r="A151" s="47" t="s">
        <v>561</v>
      </c>
      <c r="B151" s="47" t="n">
        <v>7</v>
      </c>
      <c r="C151" s="47" t="s">
        <v>654</v>
      </c>
      <c r="D151" s="47" t="s">
        <v>655</v>
      </c>
      <c r="E151" s="47" t="s">
        <v>8</v>
      </c>
      <c r="F151" s="47" t="s">
        <v>367</v>
      </c>
      <c r="G151" s="97" t="s">
        <v>368</v>
      </c>
    </row>
    <row r="152" customFormat="false" ht="14.25" hidden="false" customHeight="false" outlineLevel="0" collapsed="false">
      <c r="A152" s="47" t="s">
        <v>561</v>
      </c>
      <c r="B152" s="47" t="n">
        <v>7</v>
      </c>
      <c r="C152" s="47" t="s">
        <v>656</v>
      </c>
      <c r="D152" s="47" t="s">
        <v>657</v>
      </c>
      <c r="E152" s="47" t="s">
        <v>8</v>
      </c>
      <c r="F152" s="47" t="s">
        <v>367</v>
      </c>
      <c r="G152" s="97" t="s">
        <v>368</v>
      </c>
    </row>
    <row r="153" customFormat="false" ht="14.25" hidden="false" customHeight="false" outlineLevel="0" collapsed="false">
      <c r="A153" s="47" t="s">
        <v>561</v>
      </c>
      <c r="B153" s="47" t="n">
        <v>7</v>
      </c>
      <c r="C153" s="47" t="s">
        <v>658</v>
      </c>
      <c r="D153" s="47" t="s">
        <v>659</v>
      </c>
      <c r="E153" s="47" t="s">
        <v>8</v>
      </c>
      <c r="F153" s="47" t="s">
        <v>367</v>
      </c>
      <c r="G153" s="97" t="s">
        <v>368</v>
      </c>
    </row>
    <row r="154" customFormat="false" ht="14.25" hidden="false" customHeight="false" outlineLevel="0" collapsed="false">
      <c r="A154" s="47" t="s">
        <v>561</v>
      </c>
      <c r="B154" s="47" t="n">
        <v>7</v>
      </c>
      <c r="C154" s="47" t="s">
        <v>660</v>
      </c>
      <c r="D154" s="47" t="s">
        <v>661</v>
      </c>
      <c r="E154" s="47" t="s">
        <v>8</v>
      </c>
      <c r="F154" s="47" t="s">
        <v>367</v>
      </c>
      <c r="G154" s="97" t="s">
        <v>368</v>
      </c>
    </row>
    <row r="155" customFormat="false" ht="14.25" hidden="false" customHeight="false" outlineLevel="0" collapsed="false">
      <c r="A155" s="47" t="s">
        <v>561</v>
      </c>
      <c r="B155" s="47" t="n">
        <v>7</v>
      </c>
      <c r="C155" s="47" t="s">
        <v>662</v>
      </c>
      <c r="D155" s="47" t="s">
        <v>647</v>
      </c>
      <c r="E155" s="47" t="s">
        <v>8</v>
      </c>
      <c r="F155" s="47" t="s">
        <v>367</v>
      </c>
      <c r="G155" s="97" t="s">
        <v>368</v>
      </c>
    </row>
    <row r="156" customFormat="false" ht="14.25" hidden="false" customHeight="false" outlineLevel="0" collapsed="false">
      <c r="A156" s="47" t="s">
        <v>561</v>
      </c>
      <c r="B156" s="47" t="n">
        <v>7</v>
      </c>
      <c r="C156" s="47" t="s">
        <v>663</v>
      </c>
      <c r="D156" s="47" t="s">
        <v>664</v>
      </c>
      <c r="E156" s="47" t="s">
        <v>8</v>
      </c>
      <c r="F156" s="47" t="s">
        <v>367</v>
      </c>
      <c r="G156" s="97" t="s">
        <v>368</v>
      </c>
    </row>
    <row r="157" customFormat="false" ht="14.25" hidden="false" customHeight="false" outlineLevel="0" collapsed="false">
      <c r="A157" s="47" t="s">
        <v>561</v>
      </c>
      <c r="B157" s="47" t="n">
        <v>7</v>
      </c>
      <c r="C157" s="47" t="s">
        <v>665</v>
      </c>
      <c r="D157" s="47" t="s">
        <v>666</v>
      </c>
      <c r="E157" s="47" t="s">
        <v>8</v>
      </c>
      <c r="F157" s="47" t="s">
        <v>367</v>
      </c>
      <c r="G157" s="97" t="s">
        <v>368</v>
      </c>
    </row>
    <row r="158" customFormat="false" ht="14.25" hidden="false" customHeight="false" outlineLevel="0" collapsed="false">
      <c r="A158" s="47" t="s">
        <v>561</v>
      </c>
      <c r="B158" s="47" t="n">
        <v>7</v>
      </c>
      <c r="C158" s="47" t="s">
        <v>667</v>
      </c>
      <c r="D158" s="47" t="s">
        <v>668</v>
      </c>
      <c r="E158" s="47" t="s">
        <v>8</v>
      </c>
      <c r="F158" s="47" t="s">
        <v>367</v>
      </c>
      <c r="G158" s="97" t="s">
        <v>368</v>
      </c>
    </row>
    <row r="159" customFormat="false" ht="14.25" hidden="false" customHeight="false" outlineLevel="0" collapsed="false">
      <c r="A159" s="47" t="s">
        <v>561</v>
      </c>
      <c r="B159" s="47" t="n">
        <v>7</v>
      </c>
      <c r="C159" s="47" t="s">
        <v>669</v>
      </c>
      <c r="D159" s="47" t="s">
        <v>670</v>
      </c>
      <c r="E159" s="47" t="s">
        <v>8</v>
      </c>
      <c r="F159" s="47" t="s">
        <v>367</v>
      </c>
      <c r="G159" s="97" t="s">
        <v>368</v>
      </c>
    </row>
    <row r="160" customFormat="false" ht="14.25" hidden="false" customHeight="false" outlineLevel="0" collapsed="false">
      <c r="A160" s="47" t="s">
        <v>561</v>
      </c>
      <c r="B160" s="47" t="n">
        <v>7</v>
      </c>
      <c r="C160" s="47" t="s">
        <v>671</v>
      </c>
      <c r="D160" s="47" t="s">
        <v>672</v>
      </c>
      <c r="E160" s="47" t="s">
        <v>8</v>
      </c>
      <c r="F160" s="47" t="s">
        <v>367</v>
      </c>
      <c r="G160" s="97" t="s">
        <v>368</v>
      </c>
    </row>
    <row r="161" customFormat="false" ht="14.25" hidden="false" customHeight="false" outlineLevel="0" collapsed="false">
      <c r="A161" s="47" t="s">
        <v>561</v>
      </c>
      <c r="B161" s="47" t="n">
        <v>7</v>
      </c>
      <c r="C161" s="47" t="s">
        <v>673</v>
      </c>
      <c r="D161" s="47" t="s">
        <v>674</v>
      </c>
      <c r="E161" s="47" t="s">
        <v>8</v>
      </c>
      <c r="F161" s="47" t="s">
        <v>367</v>
      </c>
      <c r="G161" s="97" t="s">
        <v>368</v>
      </c>
    </row>
    <row r="162" customFormat="false" ht="14.25" hidden="false" customHeight="false" outlineLevel="0" collapsed="false">
      <c r="A162" s="47" t="s">
        <v>561</v>
      </c>
      <c r="B162" s="47" t="n">
        <v>7</v>
      </c>
      <c r="C162" s="47" t="s">
        <v>675</v>
      </c>
      <c r="D162" s="47" t="s">
        <v>676</v>
      </c>
      <c r="E162" s="47" t="s">
        <v>8</v>
      </c>
      <c r="F162" s="47" t="s">
        <v>367</v>
      </c>
      <c r="G162" s="97" t="s">
        <v>368</v>
      </c>
    </row>
    <row r="163" customFormat="false" ht="14.25" hidden="false" customHeight="false" outlineLevel="0" collapsed="false">
      <c r="A163" s="47" t="s">
        <v>561</v>
      </c>
      <c r="B163" s="47" t="n">
        <v>7</v>
      </c>
      <c r="C163" s="47" t="s">
        <v>677</v>
      </c>
      <c r="D163" s="47" t="s">
        <v>677</v>
      </c>
      <c r="E163" s="47" t="s">
        <v>8</v>
      </c>
      <c r="F163" s="47" t="s">
        <v>374</v>
      </c>
      <c r="G163" s="97" t="s">
        <v>371</v>
      </c>
    </row>
    <row r="164" customFormat="false" ht="14.25" hidden="false" customHeight="false" outlineLevel="0" collapsed="false">
      <c r="A164" s="47" t="s">
        <v>114</v>
      </c>
      <c r="B164" s="98" t="n">
        <v>4</v>
      </c>
      <c r="C164" s="47" t="s">
        <v>678</v>
      </c>
      <c r="D164" s="47" t="s">
        <v>679</v>
      </c>
      <c r="E164" s="47" t="s">
        <v>8</v>
      </c>
      <c r="F164" s="47" t="s">
        <v>367</v>
      </c>
      <c r="G164" s="97" t="s">
        <v>368</v>
      </c>
    </row>
    <row r="165" customFormat="false" ht="14.25" hidden="false" customHeight="false" outlineLevel="0" collapsed="false">
      <c r="A165" s="47" t="s">
        <v>114</v>
      </c>
      <c r="B165" s="98" t="n">
        <v>4</v>
      </c>
      <c r="C165" s="47" t="s">
        <v>680</v>
      </c>
      <c r="D165" s="47" t="s">
        <v>681</v>
      </c>
      <c r="E165" s="47" t="s">
        <v>8</v>
      </c>
      <c r="F165" s="47" t="s">
        <v>374</v>
      </c>
      <c r="G165" s="97" t="s">
        <v>392</v>
      </c>
    </row>
    <row r="166" customFormat="false" ht="14.25" hidden="false" customHeight="false" outlineLevel="0" collapsed="false">
      <c r="A166" s="47" t="s">
        <v>114</v>
      </c>
      <c r="B166" s="98" t="n">
        <v>4</v>
      </c>
      <c r="C166" s="47" t="s">
        <v>682</v>
      </c>
      <c r="D166" s="47" t="s">
        <v>683</v>
      </c>
      <c r="E166" s="47" t="s">
        <v>8</v>
      </c>
      <c r="F166" s="47" t="s">
        <v>374</v>
      </c>
      <c r="G166" s="97" t="s">
        <v>392</v>
      </c>
    </row>
    <row r="167" customFormat="false" ht="14.25" hidden="false" customHeight="false" outlineLevel="0" collapsed="false">
      <c r="A167" s="47" t="s">
        <v>114</v>
      </c>
      <c r="B167" s="98" t="n">
        <v>4</v>
      </c>
      <c r="C167" s="47" t="s">
        <v>684</v>
      </c>
      <c r="D167" s="47" t="s">
        <v>685</v>
      </c>
      <c r="E167" s="47" t="s">
        <v>8</v>
      </c>
      <c r="F167" s="47" t="s">
        <v>374</v>
      </c>
      <c r="G167" s="97" t="s">
        <v>392</v>
      </c>
    </row>
    <row r="168" customFormat="false" ht="14.25" hidden="false" customHeight="false" outlineLevel="0" collapsed="false">
      <c r="A168" s="47" t="s">
        <v>114</v>
      </c>
      <c r="B168" s="98" t="n">
        <v>4</v>
      </c>
      <c r="C168" s="47" t="s">
        <v>686</v>
      </c>
      <c r="D168" s="47" t="s">
        <v>687</v>
      </c>
      <c r="E168" s="47" t="s">
        <v>8</v>
      </c>
      <c r="F168" s="47" t="s">
        <v>374</v>
      </c>
      <c r="G168" s="97" t="s">
        <v>371</v>
      </c>
    </row>
    <row r="169" customFormat="false" ht="14.25" hidden="false" customHeight="false" outlineLevel="0" collapsed="false">
      <c r="A169" s="47" t="s">
        <v>114</v>
      </c>
      <c r="B169" s="98" t="n">
        <v>4</v>
      </c>
      <c r="C169" s="47" t="s">
        <v>688</v>
      </c>
      <c r="D169" s="47" t="s">
        <v>689</v>
      </c>
      <c r="E169" s="47" t="s">
        <v>8</v>
      </c>
      <c r="F169" s="47" t="s">
        <v>374</v>
      </c>
      <c r="G169" s="97" t="s">
        <v>381</v>
      </c>
    </row>
    <row r="170" customFormat="false" ht="14.25" hidden="false" customHeight="false" outlineLevel="0" collapsed="false">
      <c r="A170" s="47" t="s">
        <v>114</v>
      </c>
      <c r="B170" s="98" t="n">
        <v>4</v>
      </c>
      <c r="C170" s="47" t="s">
        <v>690</v>
      </c>
      <c r="D170" s="47" t="s">
        <v>691</v>
      </c>
      <c r="E170" s="47" t="s">
        <v>8</v>
      </c>
      <c r="F170" s="47" t="s">
        <v>374</v>
      </c>
      <c r="G170" s="97" t="s">
        <v>392</v>
      </c>
    </row>
    <row r="171" customFormat="false" ht="14.25" hidden="false" customHeight="false" outlineLevel="0" collapsed="false">
      <c r="A171" s="47" t="s">
        <v>114</v>
      </c>
      <c r="B171" s="98" t="n">
        <v>4</v>
      </c>
      <c r="C171" s="47" t="s">
        <v>692</v>
      </c>
      <c r="D171" s="47" t="s">
        <v>693</v>
      </c>
      <c r="E171" s="47" t="s">
        <v>8</v>
      </c>
      <c r="F171" s="47" t="s">
        <v>374</v>
      </c>
      <c r="G171" s="97" t="s">
        <v>381</v>
      </c>
    </row>
    <row r="172" customFormat="false" ht="14.25" hidden="false" customHeight="false" outlineLevel="0" collapsed="false">
      <c r="A172" s="47" t="s">
        <v>114</v>
      </c>
      <c r="B172" s="98" t="n">
        <v>4</v>
      </c>
      <c r="C172" s="47" t="s">
        <v>694</v>
      </c>
      <c r="D172" s="47" t="s">
        <v>695</v>
      </c>
      <c r="E172" s="47" t="s">
        <v>8</v>
      </c>
      <c r="F172" s="47" t="s">
        <v>374</v>
      </c>
      <c r="G172" s="97" t="s">
        <v>381</v>
      </c>
    </row>
    <row r="173" customFormat="false" ht="14.25" hidden="false" customHeight="false" outlineLevel="0" collapsed="false">
      <c r="A173" s="47" t="s">
        <v>114</v>
      </c>
      <c r="B173" s="98" t="n">
        <v>4</v>
      </c>
      <c r="C173" s="47" t="s">
        <v>696</v>
      </c>
      <c r="D173" s="47" t="s">
        <v>697</v>
      </c>
      <c r="E173" s="47" t="s">
        <v>8</v>
      </c>
      <c r="F173" s="47" t="s">
        <v>374</v>
      </c>
      <c r="G173" s="97" t="s">
        <v>392</v>
      </c>
    </row>
    <row r="174" customFormat="false" ht="14.25" hidden="false" customHeight="false" outlineLevel="0" collapsed="false">
      <c r="A174" s="47" t="s">
        <v>114</v>
      </c>
      <c r="B174" s="98" t="n">
        <v>4</v>
      </c>
      <c r="C174" s="47" t="s">
        <v>698</v>
      </c>
      <c r="D174" s="47" t="s">
        <v>699</v>
      </c>
      <c r="E174" s="47" t="s">
        <v>8</v>
      </c>
      <c r="F174" s="47" t="s">
        <v>374</v>
      </c>
      <c r="G174" s="97" t="s">
        <v>381</v>
      </c>
    </row>
    <row r="175" customFormat="false" ht="14.25" hidden="false" customHeight="false" outlineLevel="0" collapsed="false">
      <c r="A175" s="47" t="s">
        <v>114</v>
      </c>
      <c r="B175" s="98" t="n">
        <v>4</v>
      </c>
      <c r="C175" s="47" t="s">
        <v>700</v>
      </c>
      <c r="D175" s="47" t="s">
        <v>701</v>
      </c>
      <c r="E175" s="47" t="s">
        <v>8</v>
      </c>
      <c r="F175" s="47" t="s">
        <v>374</v>
      </c>
      <c r="G175" s="97" t="s">
        <v>392</v>
      </c>
    </row>
    <row r="176" customFormat="false" ht="14.25" hidden="false" customHeight="false" outlineLevel="0" collapsed="false">
      <c r="A176" s="47" t="s">
        <v>114</v>
      </c>
      <c r="B176" s="98" t="n">
        <v>4</v>
      </c>
      <c r="C176" s="47" t="s">
        <v>702</v>
      </c>
      <c r="D176" s="47" t="s">
        <v>703</v>
      </c>
      <c r="E176" s="47" t="s">
        <v>8</v>
      </c>
      <c r="F176" s="47" t="s">
        <v>374</v>
      </c>
      <c r="G176" s="97" t="s">
        <v>381</v>
      </c>
    </row>
    <row r="177" customFormat="false" ht="14.25" hidden="false" customHeight="false" outlineLevel="0" collapsed="false">
      <c r="A177" s="47" t="s">
        <v>114</v>
      </c>
      <c r="B177" s="98" t="n">
        <v>4</v>
      </c>
      <c r="C177" s="47" t="s">
        <v>704</v>
      </c>
      <c r="D177" s="47" t="s">
        <v>705</v>
      </c>
      <c r="E177" s="47" t="s">
        <v>8</v>
      </c>
      <c r="F177" s="47" t="s">
        <v>374</v>
      </c>
      <c r="G177" s="97" t="s">
        <v>392</v>
      </c>
    </row>
    <row r="178" customFormat="false" ht="14.25" hidden="false" customHeight="false" outlineLevel="0" collapsed="false">
      <c r="A178" s="47" t="s">
        <v>114</v>
      </c>
      <c r="B178" s="98" t="n">
        <v>4</v>
      </c>
      <c r="C178" s="47" t="s">
        <v>706</v>
      </c>
      <c r="D178" s="47" t="s">
        <v>707</v>
      </c>
      <c r="E178" s="47" t="s">
        <v>8</v>
      </c>
      <c r="F178" s="47" t="s">
        <v>374</v>
      </c>
      <c r="G178" s="97" t="s">
        <v>381</v>
      </c>
    </row>
    <row r="179" customFormat="false" ht="14.25" hidden="false" customHeight="false" outlineLevel="0" collapsed="false">
      <c r="A179" s="47" t="s">
        <v>114</v>
      </c>
      <c r="B179" s="98" t="n">
        <v>4</v>
      </c>
      <c r="C179" s="47" t="s">
        <v>708</v>
      </c>
      <c r="D179" s="47" t="s">
        <v>709</v>
      </c>
      <c r="E179" s="47" t="s">
        <v>8</v>
      </c>
      <c r="F179" s="47" t="s">
        <v>374</v>
      </c>
      <c r="G179" s="97" t="s">
        <v>381</v>
      </c>
    </row>
    <row r="180" customFormat="false" ht="14.25" hidden="false" customHeight="false" outlineLevel="0" collapsed="false">
      <c r="A180" s="47" t="s">
        <v>114</v>
      </c>
      <c r="B180" s="98" t="n">
        <v>4</v>
      </c>
      <c r="C180" s="47" t="s">
        <v>710</v>
      </c>
      <c r="D180" s="47" t="s">
        <v>711</v>
      </c>
      <c r="E180" s="47" t="s">
        <v>8</v>
      </c>
      <c r="F180" s="47" t="s">
        <v>374</v>
      </c>
      <c r="G180" s="97" t="s">
        <v>381</v>
      </c>
    </row>
    <row r="181" customFormat="false" ht="14.25" hidden="false" customHeight="false" outlineLevel="0" collapsed="false">
      <c r="A181" s="47" t="s">
        <v>114</v>
      </c>
      <c r="B181" s="98" t="n">
        <v>4</v>
      </c>
      <c r="C181" s="47" t="s">
        <v>712</v>
      </c>
      <c r="D181" s="47" t="s">
        <v>713</v>
      </c>
      <c r="E181" s="47" t="s">
        <v>8</v>
      </c>
      <c r="F181" s="47" t="s">
        <v>374</v>
      </c>
      <c r="G181" s="97" t="s">
        <v>381</v>
      </c>
    </row>
    <row r="182" customFormat="false" ht="14.25" hidden="false" customHeight="false" outlineLevel="0" collapsed="false">
      <c r="A182" s="47" t="s">
        <v>114</v>
      </c>
      <c r="B182" s="98" t="n">
        <v>4</v>
      </c>
      <c r="C182" s="47" t="s">
        <v>714</v>
      </c>
      <c r="D182" s="47" t="s">
        <v>715</v>
      </c>
      <c r="E182" s="47" t="s">
        <v>8</v>
      </c>
      <c r="F182" s="47" t="s">
        <v>374</v>
      </c>
      <c r="G182" s="97" t="s">
        <v>392</v>
      </c>
    </row>
    <row r="183" customFormat="false" ht="14.25" hidden="false" customHeight="false" outlineLevel="0" collapsed="false">
      <c r="A183" s="47" t="s">
        <v>114</v>
      </c>
      <c r="B183" s="98" t="n">
        <v>4</v>
      </c>
      <c r="C183" s="47" t="s">
        <v>716</v>
      </c>
      <c r="D183" s="47" t="s">
        <v>717</v>
      </c>
      <c r="E183" s="47" t="s">
        <v>8</v>
      </c>
      <c r="F183" s="47" t="s">
        <v>374</v>
      </c>
      <c r="G183" s="97" t="s">
        <v>381</v>
      </c>
    </row>
    <row r="184" customFormat="false" ht="14.25" hidden="false" customHeight="false" outlineLevel="0" collapsed="false">
      <c r="A184" s="47" t="s">
        <v>114</v>
      </c>
      <c r="B184" s="98" t="n">
        <v>4</v>
      </c>
      <c r="C184" s="47" t="s">
        <v>718</v>
      </c>
      <c r="D184" s="47" t="s">
        <v>719</v>
      </c>
      <c r="E184" s="47" t="s">
        <v>8</v>
      </c>
      <c r="F184" s="47" t="s">
        <v>374</v>
      </c>
      <c r="G184" s="97" t="s">
        <v>371</v>
      </c>
    </row>
    <row r="185" customFormat="false" ht="14.25" hidden="false" customHeight="false" outlineLevel="0" collapsed="false">
      <c r="A185" s="47" t="s">
        <v>114</v>
      </c>
      <c r="B185" s="98" t="n">
        <v>4</v>
      </c>
      <c r="C185" s="47" t="s">
        <v>720</v>
      </c>
      <c r="D185" s="47" t="s">
        <v>721</v>
      </c>
      <c r="E185" s="47" t="s">
        <v>8</v>
      </c>
      <c r="F185" s="47" t="s">
        <v>374</v>
      </c>
      <c r="G185" s="97" t="s">
        <v>392</v>
      </c>
    </row>
    <row r="186" customFormat="false" ht="14.25" hidden="false" customHeight="false" outlineLevel="0" collapsed="false">
      <c r="A186" s="47" t="s">
        <v>114</v>
      </c>
      <c r="B186" s="98" t="n">
        <v>4</v>
      </c>
      <c r="C186" s="47" t="s">
        <v>722</v>
      </c>
      <c r="D186" s="47" t="s">
        <v>723</v>
      </c>
      <c r="E186" s="47" t="s">
        <v>8</v>
      </c>
      <c r="F186" s="47" t="s">
        <v>374</v>
      </c>
      <c r="G186" s="97" t="s">
        <v>381</v>
      </c>
    </row>
    <row r="187" customFormat="false" ht="14.25" hidden="false" customHeight="false" outlineLevel="0" collapsed="false">
      <c r="A187" s="47" t="s">
        <v>114</v>
      </c>
      <c r="B187" s="98" t="n">
        <v>4</v>
      </c>
      <c r="C187" s="47" t="s">
        <v>724</v>
      </c>
      <c r="D187" s="47" t="s">
        <v>725</v>
      </c>
      <c r="E187" s="47" t="s">
        <v>8</v>
      </c>
      <c r="F187" s="47" t="s">
        <v>374</v>
      </c>
      <c r="G187" s="97" t="s">
        <v>381</v>
      </c>
    </row>
    <row r="188" customFormat="false" ht="14.25" hidden="false" customHeight="false" outlineLevel="0" collapsed="false">
      <c r="A188" s="47" t="s">
        <v>114</v>
      </c>
      <c r="B188" s="98" t="n">
        <v>4</v>
      </c>
      <c r="C188" s="47" t="s">
        <v>726</v>
      </c>
      <c r="D188" s="47" t="s">
        <v>727</v>
      </c>
      <c r="E188" s="47" t="s">
        <v>8</v>
      </c>
      <c r="F188" s="47" t="s">
        <v>374</v>
      </c>
      <c r="G188" s="97" t="s">
        <v>392</v>
      </c>
    </row>
    <row r="189" customFormat="false" ht="14.25" hidden="false" customHeight="false" outlineLevel="0" collapsed="false">
      <c r="A189" s="47" t="s">
        <v>114</v>
      </c>
      <c r="B189" s="98" t="n">
        <v>4</v>
      </c>
      <c r="C189" s="47" t="s">
        <v>728</v>
      </c>
      <c r="D189" s="47" t="s">
        <v>729</v>
      </c>
      <c r="E189" s="47" t="s">
        <v>8</v>
      </c>
      <c r="F189" s="47" t="s">
        <v>374</v>
      </c>
      <c r="G189" s="97" t="s">
        <v>392</v>
      </c>
    </row>
    <row r="190" customFormat="false" ht="14.25" hidden="false" customHeight="false" outlineLevel="0" collapsed="false">
      <c r="A190" s="47" t="s">
        <v>114</v>
      </c>
      <c r="B190" s="98" t="n">
        <v>4</v>
      </c>
      <c r="C190" s="47" t="s">
        <v>730</v>
      </c>
      <c r="D190" s="47" t="s">
        <v>731</v>
      </c>
      <c r="E190" s="47" t="s">
        <v>8</v>
      </c>
      <c r="F190" s="47" t="s">
        <v>374</v>
      </c>
      <c r="G190" s="97" t="s">
        <v>381</v>
      </c>
    </row>
    <row r="191" customFormat="false" ht="14.25" hidden="false" customHeight="false" outlineLevel="0" collapsed="false">
      <c r="A191" s="47" t="s">
        <v>114</v>
      </c>
      <c r="B191" s="98" t="n">
        <v>4</v>
      </c>
      <c r="C191" s="47" t="s">
        <v>732</v>
      </c>
      <c r="D191" s="47" t="s">
        <v>733</v>
      </c>
      <c r="E191" s="47" t="s">
        <v>8</v>
      </c>
      <c r="F191" s="47" t="s">
        <v>374</v>
      </c>
      <c r="G191" s="97" t="s">
        <v>392</v>
      </c>
    </row>
    <row r="192" customFormat="false" ht="14.25" hidden="false" customHeight="false" outlineLevel="0" collapsed="false">
      <c r="A192" s="47" t="s">
        <v>114</v>
      </c>
      <c r="B192" s="98" t="n">
        <v>4</v>
      </c>
      <c r="C192" s="47" t="s">
        <v>734</v>
      </c>
      <c r="D192" s="47" t="s">
        <v>735</v>
      </c>
      <c r="E192" s="47" t="s">
        <v>8</v>
      </c>
      <c r="F192" s="47" t="s">
        <v>374</v>
      </c>
      <c r="G192" s="97" t="s">
        <v>392</v>
      </c>
    </row>
    <row r="193" customFormat="false" ht="14.25" hidden="false" customHeight="false" outlineLevel="0" collapsed="false">
      <c r="A193" s="47" t="s">
        <v>114</v>
      </c>
      <c r="B193" s="98" t="n">
        <v>4</v>
      </c>
      <c r="C193" s="47" t="s">
        <v>736</v>
      </c>
      <c r="D193" s="47" t="s">
        <v>737</v>
      </c>
      <c r="E193" s="47" t="s">
        <v>8</v>
      </c>
      <c r="F193" s="47" t="s">
        <v>374</v>
      </c>
      <c r="G193" s="97" t="s">
        <v>371</v>
      </c>
    </row>
    <row r="194" customFormat="false" ht="14.25" hidden="false" customHeight="false" outlineLevel="0" collapsed="false">
      <c r="A194" s="47" t="s">
        <v>114</v>
      </c>
      <c r="B194" s="98" t="n">
        <v>4</v>
      </c>
      <c r="C194" s="47" t="s">
        <v>738</v>
      </c>
      <c r="D194" s="47" t="s">
        <v>739</v>
      </c>
      <c r="E194" s="47" t="s">
        <v>8</v>
      </c>
      <c r="F194" s="47" t="s">
        <v>374</v>
      </c>
      <c r="G194" s="97" t="s">
        <v>392</v>
      </c>
    </row>
    <row r="195" customFormat="false" ht="14.25" hidden="false" customHeight="false" outlineLevel="0" collapsed="false">
      <c r="A195" s="47" t="s">
        <v>114</v>
      </c>
      <c r="B195" s="98" t="n">
        <v>4</v>
      </c>
      <c r="C195" s="47" t="s">
        <v>740</v>
      </c>
      <c r="D195" s="47" t="s">
        <v>741</v>
      </c>
      <c r="E195" s="47" t="s">
        <v>8</v>
      </c>
      <c r="F195" s="47" t="s">
        <v>374</v>
      </c>
      <c r="G195" s="97" t="s">
        <v>392</v>
      </c>
    </row>
    <row r="196" customFormat="false" ht="14.25" hidden="false" customHeight="false" outlineLevel="0" collapsed="false">
      <c r="A196" s="47" t="s">
        <v>114</v>
      </c>
      <c r="B196" s="98" t="n">
        <v>4</v>
      </c>
      <c r="C196" s="47" t="s">
        <v>742</v>
      </c>
      <c r="D196" s="47" t="s">
        <v>743</v>
      </c>
      <c r="E196" s="47" t="s">
        <v>8</v>
      </c>
      <c r="F196" s="47" t="s">
        <v>374</v>
      </c>
      <c r="G196" s="97" t="s">
        <v>381</v>
      </c>
    </row>
    <row r="197" customFormat="false" ht="14.25" hidden="false" customHeight="false" outlineLevel="0" collapsed="false">
      <c r="A197" s="47" t="s">
        <v>114</v>
      </c>
      <c r="B197" s="98" t="n">
        <v>4</v>
      </c>
      <c r="C197" s="47" t="s">
        <v>744</v>
      </c>
      <c r="D197" s="47" t="s">
        <v>745</v>
      </c>
      <c r="E197" s="47" t="s">
        <v>8</v>
      </c>
      <c r="F197" s="47" t="s">
        <v>374</v>
      </c>
      <c r="G197" s="97" t="s">
        <v>392</v>
      </c>
    </row>
    <row r="198" customFormat="false" ht="14.25" hidden="false" customHeight="false" outlineLevel="0" collapsed="false">
      <c r="A198" s="47" t="s">
        <v>114</v>
      </c>
      <c r="B198" s="98" t="n">
        <v>4</v>
      </c>
      <c r="C198" s="47" t="s">
        <v>746</v>
      </c>
      <c r="D198" s="47" t="s">
        <v>747</v>
      </c>
      <c r="E198" s="47" t="s">
        <v>8</v>
      </c>
      <c r="F198" s="47" t="s">
        <v>374</v>
      </c>
      <c r="G198" s="97" t="s">
        <v>748</v>
      </c>
    </row>
    <row r="199" customFormat="false" ht="14.25" hidden="false" customHeight="false" outlineLevel="0" collapsed="false">
      <c r="A199" s="47" t="s">
        <v>114</v>
      </c>
      <c r="B199" s="98" t="n">
        <v>4</v>
      </c>
      <c r="C199" s="47" t="s">
        <v>749</v>
      </c>
      <c r="D199" s="47" t="s">
        <v>750</v>
      </c>
      <c r="E199" s="47" t="s">
        <v>8</v>
      </c>
      <c r="F199" s="47" t="s">
        <v>367</v>
      </c>
      <c r="G199" s="97" t="s">
        <v>368</v>
      </c>
    </row>
    <row r="200" customFormat="false" ht="14.25" hidden="false" customHeight="false" outlineLevel="0" collapsed="false">
      <c r="A200" s="47" t="s">
        <v>114</v>
      </c>
      <c r="B200" s="98" t="n">
        <v>4</v>
      </c>
      <c r="C200" s="47" t="s">
        <v>751</v>
      </c>
      <c r="D200" s="47" t="s">
        <v>752</v>
      </c>
      <c r="E200" s="47" t="s">
        <v>8</v>
      </c>
      <c r="F200" s="47" t="s">
        <v>367</v>
      </c>
      <c r="G200" s="97" t="s">
        <v>368</v>
      </c>
    </row>
    <row r="201" customFormat="false" ht="14.25" hidden="false" customHeight="false" outlineLevel="0" collapsed="false">
      <c r="A201" s="47" t="s">
        <v>114</v>
      </c>
      <c r="B201" s="98" t="n">
        <v>4</v>
      </c>
      <c r="C201" s="47" t="s">
        <v>753</v>
      </c>
      <c r="D201" s="47" t="s">
        <v>754</v>
      </c>
      <c r="E201" s="47" t="s">
        <v>8</v>
      </c>
      <c r="F201" s="47" t="s">
        <v>367</v>
      </c>
      <c r="G201" s="97" t="s">
        <v>368</v>
      </c>
    </row>
    <row r="202" customFormat="false" ht="14.25" hidden="false" customHeight="false" outlineLevel="0" collapsed="false">
      <c r="A202" s="47" t="s">
        <v>114</v>
      </c>
      <c r="B202" s="98" t="n">
        <v>4</v>
      </c>
      <c r="C202" s="47" t="s">
        <v>755</v>
      </c>
      <c r="D202" s="47" t="s">
        <v>756</v>
      </c>
      <c r="E202" s="47" t="s">
        <v>8</v>
      </c>
      <c r="F202" s="47" t="s">
        <v>367</v>
      </c>
      <c r="G202" s="97" t="s">
        <v>368</v>
      </c>
    </row>
    <row r="203" customFormat="false" ht="14.25" hidden="false" customHeight="false" outlineLevel="0" collapsed="false">
      <c r="A203" s="47" t="s">
        <v>114</v>
      </c>
      <c r="B203" s="98" t="n">
        <v>4</v>
      </c>
      <c r="C203" s="47" t="s">
        <v>757</v>
      </c>
      <c r="D203" s="47" t="s">
        <v>758</v>
      </c>
      <c r="E203" s="47" t="s">
        <v>8</v>
      </c>
      <c r="F203" s="47" t="s">
        <v>374</v>
      </c>
      <c r="G203" s="97" t="s">
        <v>392</v>
      </c>
    </row>
    <row r="204" customFormat="false" ht="14.25" hidden="false" customHeight="false" outlineLevel="0" collapsed="false">
      <c r="A204" s="47" t="s">
        <v>114</v>
      </c>
      <c r="B204" s="98" t="n">
        <v>4</v>
      </c>
      <c r="C204" s="47" t="s">
        <v>759</v>
      </c>
      <c r="D204" s="47" t="s">
        <v>760</v>
      </c>
      <c r="E204" s="47" t="s">
        <v>8</v>
      </c>
      <c r="F204" s="47" t="s">
        <v>367</v>
      </c>
      <c r="G204" s="97" t="s">
        <v>368</v>
      </c>
    </row>
    <row r="205" customFormat="false" ht="14.25" hidden="false" customHeight="false" outlineLevel="0" collapsed="false">
      <c r="A205" s="47" t="s">
        <v>114</v>
      </c>
      <c r="B205" s="98" t="n">
        <v>4</v>
      </c>
      <c r="C205" s="47" t="s">
        <v>761</v>
      </c>
      <c r="D205" s="47" t="s">
        <v>762</v>
      </c>
      <c r="E205" s="47" t="s">
        <v>8</v>
      </c>
      <c r="F205" s="47" t="s">
        <v>367</v>
      </c>
      <c r="G205" s="97" t="s">
        <v>368</v>
      </c>
    </row>
    <row r="206" customFormat="false" ht="14.25" hidden="false" customHeight="false" outlineLevel="0" collapsed="false">
      <c r="A206" s="47" t="s">
        <v>114</v>
      </c>
      <c r="B206" s="98" t="n">
        <v>4</v>
      </c>
      <c r="C206" s="47" t="s">
        <v>763</v>
      </c>
      <c r="D206" s="47" t="s">
        <v>764</v>
      </c>
      <c r="E206" s="47" t="s">
        <v>8</v>
      </c>
      <c r="F206" s="47" t="s">
        <v>367</v>
      </c>
      <c r="G206" s="97" t="s">
        <v>368</v>
      </c>
    </row>
    <row r="207" customFormat="false" ht="14.25" hidden="false" customHeight="false" outlineLevel="0" collapsed="false">
      <c r="A207" s="47" t="s">
        <v>114</v>
      </c>
      <c r="B207" s="98" t="n">
        <v>4</v>
      </c>
      <c r="C207" s="47" t="s">
        <v>765</v>
      </c>
      <c r="D207" s="47" t="s">
        <v>766</v>
      </c>
      <c r="E207" s="47" t="s">
        <v>8</v>
      </c>
      <c r="F207" s="47" t="s">
        <v>367</v>
      </c>
      <c r="G207" s="97" t="s">
        <v>368</v>
      </c>
    </row>
    <row r="208" customFormat="false" ht="14.25" hidden="false" customHeight="false" outlineLevel="0" collapsed="false">
      <c r="A208" s="47" t="s">
        <v>114</v>
      </c>
      <c r="B208" s="98" t="n">
        <v>4</v>
      </c>
      <c r="C208" s="47" t="s">
        <v>767</v>
      </c>
      <c r="D208" s="47" t="s">
        <v>768</v>
      </c>
      <c r="E208" s="47" t="s">
        <v>8</v>
      </c>
      <c r="F208" s="47" t="s">
        <v>367</v>
      </c>
      <c r="G208" s="97" t="s">
        <v>368</v>
      </c>
    </row>
    <row r="209" customFormat="false" ht="14.25" hidden="false" customHeight="false" outlineLevel="0" collapsed="false">
      <c r="A209" s="47" t="s">
        <v>114</v>
      </c>
      <c r="B209" s="98" t="n">
        <v>4</v>
      </c>
      <c r="C209" s="47" t="s">
        <v>769</v>
      </c>
      <c r="D209" s="47" t="s">
        <v>770</v>
      </c>
      <c r="E209" s="47" t="s">
        <v>8</v>
      </c>
      <c r="F209" s="47" t="s">
        <v>367</v>
      </c>
      <c r="G209" s="97" t="s">
        <v>368</v>
      </c>
    </row>
    <row r="210" customFormat="false" ht="14.25" hidden="false" customHeight="false" outlineLevel="0" collapsed="false">
      <c r="A210" s="47" t="s">
        <v>114</v>
      </c>
      <c r="B210" s="98" t="n">
        <v>4</v>
      </c>
      <c r="C210" s="47" t="s">
        <v>771</v>
      </c>
      <c r="D210" s="47" t="s">
        <v>772</v>
      </c>
      <c r="E210" s="47" t="s">
        <v>8</v>
      </c>
      <c r="F210" s="47" t="s">
        <v>367</v>
      </c>
      <c r="G210" s="97" t="s">
        <v>368</v>
      </c>
    </row>
    <row r="211" customFormat="false" ht="14.25" hidden="false" customHeight="false" outlineLevel="0" collapsed="false">
      <c r="A211" s="47" t="s">
        <v>114</v>
      </c>
      <c r="B211" s="98" t="n">
        <v>4</v>
      </c>
      <c r="C211" s="47" t="s">
        <v>773</v>
      </c>
      <c r="D211" s="47" t="s">
        <v>774</v>
      </c>
      <c r="E211" s="47" t="s">
        <v>8</v>
      </c>
      <c r="F211" s="47" t="s">
        <v>374</v>
      </c>
      <c r="G211" s="97" t="s">
        <v>371</v>
      </c>
    </row>
    <row r="212" customFormat="false" ht="14.25" hidden="false" customHeight="false" outlineLevel="0" collapsed="false">
      <c r="A212" s="47" t="s">
        <v>114</v>
      </c>
      <c r="B212" s="98" t="n">
        <v>4</v>
      </c>
      <c r="C212" s="47" t="s">
        <v>775</v>
      </c>
      <c r="D212" s="47" t="s">
        <v>776</v>
      </c>
      <c r="E212" s="47" t="s">
        <v>8</v>
      </c>
      <c r="F212" s="47" t="s">
        <v>374</v>
      </c>
      <c r="G212" s="97" t="s">
        <v>392</v>
      </c>
    </row>
    <row r="213" customFormat="false" ht="14.25" hidden="false" customHeight="false" outlineLevel="0" collapsed="false">
      <c r="A213" s="47" t="s">
        <v>114</v>
      </c>
      <c r="B213" s="98" t="n">
        <v>4</v>
      </c>
      <c r="C213" s="47" t="s">
        <v>777</v>
      </c>
      <c r="D213" s="47" t="s">
        <v>778</v>
      </c>
      <c r="E213" s="47" t="s">
        <v>8</v>
      </c>
      <c r="F213" s="47" t="s">
        <v>374</v>
      </c>
      <c r="G213" s="97" t="s">
        <v>381</v>
      </c>
    </row>
    <row r="214" customFormat="false" ht="14.25" hidden="false" customHeight="false" outlineLevel="0" collapsed="false">
      <c r="A214" s="47" t="s">
        <v>114</v>
      </c>
      <c r="B214" s="98" t="n">
        <v>4</v>
      </c>
      <c r="C214" s="47" t="s">
        <v>779</v>
      </c>
      <c r="D214" s="47" t="s">
        <v>780</v>
      </c>
      <c r="E214" s="47" t="s">
        <v>8</v>
      </c>
      <c r="F214" s="47" t="s">
        <v>374</v>
      </c>
      <c r="G214" s="97" t="s">
        <v>392</v>
      </c>
    </row>
    <row r="215" customFormat="false" ht="14.25" hidden="false" customHeight="false" outlineLevel="0" collapsed="false">
      <c r="A215" s="47" t="s">
        <v>114</v>
      </c>
      <c r="B215" s="98" t="n">
        <v>4</v>
      </c>
      <c r="C215" s="47" t="s">
        <v>781</v>
      </c>
      <c r="D215" s="47" t="s">
        <v>782</v>
      </c>
      <c r="E215" s="47" t="s">
        <v>8</v>
      </c>
      <c r="F215" s="47" t="s">
        <v>374</v>
      </c>
      <c r="G215" s="97" t="s">
        <v>381</v>
      </c>
    </row>
    <row r="216" customFormat="false" ht="14.25" hidden="false" customHeight="false" outlineLevel="0" collapsed="false">
      <c r="A216" s="47" t="s">
        <v>114</v>
      </c>
      <c r="B216" s="98" t="n">
        <v>4</v>
      </c>
      <c r="C216" s="47" t="s">
        <v>783</v>
      </c>
      <c r="D216" s="47" t="s">
        <v>784</v>
      </c>
      <c r="E216" s="47" t="s">
        <v>8</v>
      </c>
      <c r="F216" s="47" t="s">
        <v>374</v>
      </c>
      <c r="G216" s="97" t="s">
        <v>381</v>
      </c>
    </row>
    <row r="217" customFormat="false" ht="14.25" hidden="false" customHeight="false" outlineLevel="0" collapsed="false">
      <c r="A217" s="47" t="s">
        <v>114</v>
      </c>
      <c r="B217" s="98" t="n">
        <v>4</v>
      </c>
      <c r="C217" s="47" t="s">
        <v>785</v>
      </c>
      <c r="D217" s="47" t="s">
        <v>786</v>
      </c>
      <c r="E217" s="47" t="s">
        <v>8</v>
      </c>
      <c r="F217" s="47" t="s">
        <v>374</v>
      </c>
      <c r="G217" s="97" t="s">
        <v>371</v>
      </c>
    </row>
    <row r="218" customFormat="false" ht="14.25" hidden="false" customHeight="false" outlineLevel="0" collapsed="false">
      <c r="A218" s="47" t="s">
        <v>114</v>
      </c>
      <c r="B218" s="98" t="n">
        <v>4</v>
      </c>
      <c r="C218" s="47" t="s">
        <v>787</v>
      </c>
      <c r="D218" s="47" t="s">
        <v>788</v>
      </c>
      <c r="E218" s="47" t="s">
        <v>8</v>
      </c>
      <c r="F218" s="47" t="s">
        <v>374</v>
      </c>
      <c r="G218" s="97" t="s">
        <v>392</v>
      </c>
    </row>
    <row r="219" customFormat="false" ht="14.25" hidden="false" customHeight="false" outlineLevel="0" collapsed="false">
      <c r="A219" s="47" t="s">
        <v>114</v>
      </c>
      <c r="B219" s="98" t="n">
        <v>4</v>
      </c>
      <c r="C219" s="47" t="s">
        <v>789</v>
      </c>
      <c r="D219" s="47" t="s">
        <v>790</v>
      </c>
      <c r="E219" s="47" t="s">
        <v>8</v>
      </c>
      <c r="F219" s="47" t="s">
        <v>374</v>
      </c>
      <c r="G219" s="97" t="s">
        <v>381</v>
      </c>
    </row>
    <row r="220" customFormat="false" ht="14.25" hidden="false" customHeight="false" outlineLevel="0" collapsed="false">
      <c r="A220" s="47" t="s">
        <v>114</v>
      </c>
      <c r="B220" s="98" t="n">
        <v>4</v>
      </c>
      <c r="C220" s="47" t="s">
        <v>791</v>
      </c>
      <c r="D220" s="47" t="s">
        <v>792</v>
      </c>
      <c r="E220" s="47" t="s">
        <v>8</v>
      </c>
      <c r="F220" s="47" t="s">
        <v>374</v>
      </c>
      <c r="G220" s="97" t="s">
        <v>371</v>
      </c>
    </row>
    <row r="221" customFormat="false" ht="14.25" hidden="false" customHeight="false" outlineLevel="0" collapsed="false">
      <c r="A221" s="47" t="s">
        <v>114</v>
      </c>
      <c r="B221" s="98" t="n">
        <v>4</v>
      </c>
      <c r="C221" s="47" t="s">
        <v>793</v>
      </c>
      <c r="D221" s="47" t="s">
        <v>794</v>
      </c>
      <c r="E221" s="47" t="s">
        <v>8</v>
      </c>
      <c r="F221" s="47" t="s">
        <v>374</v>
      </c>
      <c r="G221" s="97" t="s">
        <v>381</v>
      </c>
    </row>
    <row r="222" customFormat="false" ht="14.25" hidden="false" customHeight="false" outlineLevel="0" collapsed="false">
      <c r="A222" s="47" t="s">
        <v>114</v>
      </c>
      <c r="B222" s="98" t="n">
        <v>4</v>
      </c>
      <c r="C222" s="47" t="s">
        <v>795</v>
      </c>
      <c r="D222" s="47" t="s">
        <v>796</v>
      </c>
      <c r="E222" s="47" t="s">
        <v>8</v>
      </c>
      <c r="F222" s="47" t="s">
        <v>374</v>
      </c>
      <c r="G222" s="97" t="s">
        <v>392</v>
      </c>
    </row>
    <row r="223" customFormat="false" ht="14.25" hidden="false" customHeight="false" outlineLevel="0" collapsed="false">
      <c r="A223" s="47" t="s">
        <v>114</v>
      </c>
      <c r="B223" s="98" t="n">
        <v>4</v>
      </c>
      <c r="C223" s="47" t="s">
        <v>797</v>
      </c>
      <c r="D223" s="47" t="s">
        <v>798</v>
      </c>
      <c r="E223" s="47" t="s">
        <v>8</v>
      </c>
      <c r="F223" s="47" t="s">
        <v>374</v>
      </c>
      <c r="G223" s="97" t="s">
        <v>392</v>
      </c>
    </row>
    <row r="224" customFormat="false" ht="14.25" hidden="false" customHeight="false" outlineLevel="0" collapsed="false">
      <c r="A224" s="47" t="s">
        <v>114</v>
      </c>
      <c r="B224" s="98" t="n">
        <v>4</v>
      </c>
      <c r="C224" s="47" t="s">
        <v>799</v>
      </c>
      <c r="D224" s="47" t="s">
        <v>800</v>
      </c>
      <c r="E224" s="47" t="s">
        <v>8</v>
      </c>
      <c r="F224" s="47" t="s">
        <v>374</v>
      </c>
      <c r="G224" s="97" t="s">
        <v>392</v>
      </c>
    </row>
    <row r="225" customFormat="false" ht="14.25" hidden="false" customHeight="false" outlineLevel="0" collapsed="false">
      <c r="A225" s="47" t="s">
        <v>114</v>
      </c>
      <c r="B225" s="98" t="n">
        <v>4</v>
      </c>
      <c r="C225" s="47" t="s">
        <v>801</v>
      </c>
      <c r="D225" s="47" t="s">
        <v>802</v>
      </c>
      <c r="E225" s="47" t="s">
        <v>8</v>
      </c>
      <c r="F225" s="47" t="s">
        <v>374</v>
      </c>
      <c r="G225" s="97" t="s">
        <v>392</v>
      </c>
    </row>
    <row r="226" customFormat="false" ht="14.25" hidden="false" customHeight="false" outlineLevel="0" collapsed="false">
      <c r="A226" s="47" t="s">
        <v>114</v>
      </c>
      <c r="B226" s="98" t="n">
        <v>4</v>
      </c>
      <c r="C226" s="47" t="s">
        <v>803</v>
      </c>
      <c r="D226" s="47" t="s">
        <v>804</v>
      </c>
      <c r="E226" s="47" t="s">
        <v>8</v>
      </c>
      <c r="F226" s="47" t="s">
        <v>374</v>
      </c>
      <c r="G226" s="97" t="s">
        <v>381</v>
      </c>
    </row>
    <row r="227" customFormat="false" ht="14.25" hidden="false" customHeight="false" outlineLevel="0" collapsed="false">
      <c r="A227" s="47" t="s">
        <v>114</v>
      </c>
      <c r="B227" s="98" t="n">
        <v>4</v>
      </c>
      <c r="C227" s="47" t="s">
        <v>805</v>
      </c>
      <c r="D227" s="47" t="s">
        <v>806</v>
      </c>
      <c r="E227" s="47" t="s">
        <v>8</v>
      </c>
      <c r="F227" s="47" t="s">
        <v>374</v>
      </c>
      <c r="G227" s="97" t="s">
        <v>371</v>
      </c>
    </row>
    <row r="228" customFormat="false" ht="14.25" hidden="false" customHeight="false" outlineLevel="0" collapsed="false">
      <c r="A228" s="47" t="s">
        <v>114</v>
      </c>
      <c r="B228" s="98" t="n">
        <v>4</v>
      </c>
      <c r="C228" s="47" t="s">
        <v>807</v>
      </c>
      <c r="D228" s="47" t="s">
        <v>808</v>
      </c>
      <c r="E228" s="47" t="s">
        <v>8</v>
      </c>
      <c r="F228" s="47" t="s">
        <v>374</v>
      </c>
      <c r="G228" s="97" t="s">
        <v>392</v>
      </c>
    </row>
    <row r="229" customFormat="false" ht="14.25" hidden="false" customHeight="false" outlineLevel="0" collapsed="false">
      <c r="A229" s="47" t="s">
        <v>114</v>
      </c>
      <c r="B229" s="98" t="n">
        <v>4</v>
      </c>
      <c r="C229" s="47" t="s">
        <v>809</v>
      </c>
      <c r="D229" s="47" t="s">
        <v>810</v>
      </c>
      <c r="E229" s="47" t="s">
        <v>8</v>
      </c>
      <c r="F229" s="47" t="s">
        <v>374</v>
      </c>
      <c r="G229" s="97" t="s">
        <v>381</v>
      </c>
    </row>
    <row r="230" customFormat="false" ht="14.25" hidden="false" customHeight="false" outlineLevel="0" collapsed="false">
      <c r="A230" s="47" t="s">
        <v>114</v>
      </c>
      <c r="B230" s="98" t="n">
        <v>4</v>
      </c>
      <c r="C230" s="47" t="s">
        <v>811</v>
      </c>
      <c r="D230" s="47" t="s">
        <v>812</v>
      </c>
      <c r="E230" s="47" t="s">
        <v>8</v>
      </c>
      <c r="F230" s="47" t="s">
        <v>374</v>
      </c>
      <c r="G230" s="97" t="s">
        <v>392</v>
      </c>
    </row>
    <row r="231" customFormat="false" ht="14.25" hidden="false" customHeight="false" outlineLevel="0" collapsed="false">
      <c r="A231" s="47" t="s">
        <v>114</v>
      </c>
      <c r="B231" s="98" t="n">
        <v>4</v>
      </c>
      <c r="C231" s="47" t="s">
        <v>813</v>
      </c>
      <c r="D231" s="47" t="s">
        <v>814</v>
      </c>
      <c r="E231" s="47" t="s">
        <v>8</v>
      </c>
      <c r="F231" s="47" t="s">
        <v>374</v>
      </c>
      <c r="G231" s="97" t="s">
        <v>392</v>
      </c>
    </row>
    <row r="232" customFormat="false" ht="14.25" hidden="false" customHeight="false" outlineLevel="0" collapsed="false">
      <c r="A232" s="47" t="s">
        <v>114</v>
      </c>
      <c r="B232" s="98" t="n">
        <v>4</v>
      </c>
      <c r="C232" s="47" t="s">
        <v>815</v>
      </c>
      <c r="D232" s="47" t="s">
        <v>816</v>
      </c>
      <c r="E232" s="47" t="s">
        <v>8</v>
      </c>
      <c r="F232" s="47" t="s">
        <v>374</v>
      </c>
      <c r="G232" s="97" t="s">
        <v>381</v>
      </c>
    </row>
    <row r="233" customFormat="false" ht="14.25" hidden="false" customHeight="false" outlineLevel="0" collapsed="false">
      <c r="A233" s="47" t="s">
        <v>114</v>
      </c>
      <c r="B233" s="98" t="n">
        <v>4</v>
      </c>
      <c r="C233" s="47" t="s">
        <v>817</v>
      </c>
      <c r="D233" s="47" t="s">
        <v>818</v>
      </c>
      <c r="E233" s="47" t="s">
        <v>8</v>
      </c>
      <c r="F233" s="47" t="s">
        <v>374</v>
      </c>
      <c r="G233" s="97" t="s">
        <v>381</v>
      </c>
    </row>
    <row r="234" customFormat="false" ht="14.25" hidden="false" customHeight="false" outlineLevel="0" collapsed="false">
      <c r="A234" s="47" t="s">
        <v>114</v>
      </c>
      <c r="B234" s="98" t="n">
        <v>4</v>
      </c>
      <c r="C234" s="47" t="s">
        <v>819</v>
      </c>
      <c r="D234" s="47" t="s">
        <v>820</v>
      </c>
      <c r="E234" s="47" t="s">
        <v>8</v>
      </c>
      <c r="F234" s="47" t="s">
        <v>374</v>
      </c>
      <c r="G234" s="97" t="s">
        <v>381</v>
      </c>
    </row>
    <row r="235" customFormat="false" ht="14.25" hidden="false" customHeight="false" outlineLevel="0" collapsed="false">
      <c r="A235" s="47" t="s">
        <v>114</v>
      </c>
      <c r="B235" s="98" t="n">
        <v>4</v>
      </c>
      <c r="C235" s="47" t="s">
        <v>821</v>
      </c>
      <c r="D235" s="47" t="s">
        <v>822</v>
      </c>
      <c r="E235" s="47" t="s">
        <v>8</v>
      </c>
      <c r="F235" s="47" t="s">
        <v>374</v>
      </c>
      <c r="G235" s="97" t="s">
        <v>392</v>
      </c>
    </row>
    <row r="236" customFormat="false" ht="14.25" hidden="false" customHeight="false" outlineLevel="0" collapsed="false">
      <c r="A236" s="98" t="s">
        <v>823</v>
      </c>
      <c r="B236" s="98" t="n">
        <v>623225021</v>
      </c>
      <c r="C236" s="98" t="s">
        <v>824</v>
      </c>
      <c r="D236" s="98" t="s">
        <v>825</v>
      </c>
      <c r="E236" s="98" t="s">
        <v>8</v>
      </c>
      <c r="F236" s="98" t="s">
        <v>367</v>
      </c>
      <c r="G236" s="97" t="s">
        <v>368</v>
      </c>
    </row>
    <row r="237" customFormat="false" ht="14.25" hidden="false" customHeight="false" outlineLevel="0" collapsed="false">
      <c r="A237" s="98" t="s">
        <v>823</v>
      </c>
      <c r="B237" s="98" t="n">
        <v>623225021</v>
      </c>
      <c r="C237" s="98" t="s">
        <v>826</v>
      </c>
      <c r="D237" s="98" t="s">
        <v>827</v>
      </c>
      <c r="E237" s="98" t="s">
        <v>8</v>
      </c>
      <c r="F237" s="98" t="s">
        <v>367</v>
      </c>
      <c r="G237" s="97" t="s">
        <v>368</v>
      </c>
    </row>
    <row r="238" customFormat="false" ht="14.25" hidden="false" customHeight="false" outlineLevel="0" collapsed="false">
      <c r="A238" s="98" t="s">
        <v>823</v>
      </c>
      <c r="B238" s="98" t="n">
        <v>623225021</v>
      </c>
      <c r="C238" s="98" t="s">
        <v>828</v>
      </c>
      <c r="D238" s="98" t="s">
        <v>829</v>
      </c>
      <c r="E238" s="98" t="s">
        <v>8</v>
      </c>
      <c r="F238" s="98" t="s">
        <v>367</v>
      </c>
      <c r="G238" s="97" t="s">
        <v>368</v>
      </c>
    </row>
    <row r="239" customFormat="false" ht="14.25" hidden="false" customHeight="false" outlineLevel="0" collapsed="false">
      <c r="A239" s="98" t="s">
        <v>823</v>
      </c>
      <c r="B239" s="98" t="n">
        <v>623225021</v>
      </c>
      <c r="C239" s="98" t="s">
        <v>830</v>
      </c>
      <c r="D239" s="98" t="s">
        <v>831</v>
      </c>
      <c r="E239" s="98" t="s">
        <v>8</v>
      </c>
      <c r="F239" s="98" t="s">
        <v>374</v>
      </c>
      <c r="G239" s="97" t="s">
        <v>371</v>
      </c>
    </row>
    <row r="240" customFormat="false" ht="14.25" hidden="false" customHeight="false" outlineLevel="0" collapsed="false">
      <c r="A240" s="98" t="s">
        <v>823</v>
      </c>
      <c r="B240" s="98" t="n">
        <v>623225021</v>
      </c>
      <c r="C240" s="98" t="s">
        <v>832</v>
      </c>
      <c r="D240" s="98" t="s">
        <v>833</v>
      </c>
      <c r="E240" s="98" t="s">
        <v>8</v>
      </c>
      <c r="F240" s="98" t="s">
        <v>374</v>
      </c>
      <c r="G240" s="97" t="s">
        <v>371</v>
      </c>
    </row>
    <row r="241" customFormat="false" ht="14.25" hidden="false" customHeight="false" outlineLevel="0" collapsed="false">
      <c r="A241" s="47" t="s">
        <v>147</v>
      </c>
      <c r="B241" s="47" t="n">
        <v>44551</v>
      </c>
      <c r="C241" s="47" t="s">
        <v>834</v>
      </c>
      <c r="D241" s="47" t="s">
        <v>419</v>
      </c>
      <c r="E241" s="47" t="s">
        <v>8</v>
      </c>
      <c r="F241" s="47" t="s">
        <v>367</v>
      </c>
      <c r="G241" s="97" t="s">
        <v>368</v>
      </c>
    </row>
    <row r="242" customFormat="false" ht="14.25" hidden="false" customHeight="false" outlineLevel="0" collapsed="false">
      <c r="A242" s="47" t="s">
        <v>147</v>
      </c>
      <c r="B242" s="47" t="n">
        <v>44551</v>
      </c>
      <c r="C242" s="47" t="s">
        <v>835</v>
      </c>
      <c r="D242" s="47" t="s">
        <v>836</v>
      </c>
      <c r="E242" s="47" t="s">
        <v>8</v>
      </c>
      <c r="F242" s="47" t="s">
        <v>374</v>
      </c>
      <c r="G242" s="97" t="s">
        <v>392</v>
      </c>
    </row>
    <row r="243" customFormat="false" ht="14.25" hidden="false" customHeight="false" outlineLevel="0" collapsed="false">
      <c r="A243" s="47" t="s">
        <v>147</v>
      </c>
      <c r="B243" s="47" t="n">
        <v>44551</v>
      </c>
      <c r="C243" s="47" t="s">
        <v>837</v>
      </c>
      <c r="D243" s="47" t="s">
        <v>836</v>
      </c>
      <c r="E243" s="47" t="s">
        <v>8</v>
      </c>
      <c r="F243" s="47" t="s">
        <v>367</v>
      </c>
      <c r="G243" s="97" t="s">
        <v>368</v>
      </c>
    </row>
    <row r="244" customFormat="false" ht="14.25" hidden="false" customHeight="false" outlineLevel="0" collapsed="false">
      <c r="A244" s="47" t="s">
        <v>147</v>
      </c>
      <c r="B244" s="47" t="n">
        <v>44551</v>
      </c>
      <c r="C244" s="47" t="s">
        <v>838</v>
      </c>
      <c r="D244" s="47" t="s">
        <v>839</v>
      </c>
      <c r="E244" s="47" t="s">
        <v>8</v>
      </c>
      <c r="F244" s="47" t="s">
        <v>367</v>
      </c>
      <c r="G244" s="97" t="s">
        <v>368</v>
      </c>
    </row>
    <row r="245" customFormat="false" ht="14.25" hidden="false" customHeight="false" outlineLevel="0" collapsed="false">
      <c r="A245" s="47" t="s">
        <v>147</v>
      </c>
      <c r="B245" s="47" t="n">
        <v>44551</v>
      </c>
      <c r="C245" s="47" t="s">
        <v>840</v>
      </c>
      <c r="D245" s="47" t="s">
        <v>841</v>
      </c>
      <c r="E245" s="47" t="s">
        <v>8</v>
      </c>
      <c r="F245" s="47" t="s">
        <v>374</v>
      </c>
      <c r="G245" s="97" t="s">
        <v>381</v>
      </c>
    </row>
    <row r="246" customFormat="false" ht="14.25" hidden="false" customHeight="false" outlineLevel="0" collapsed="false">
      <c r="A246" s="47" t="s">
        <v>147</v>
      </c>
      <c r="B246" s="47" t="n">
        <v>44551</v>
      </c>
      <c r="C246" s="47" t="s">
        <v>842</v>
      </c>
      <c r="D246" s="47" t="s">
        <v>843</v>
      </c>
      <c r="E246" s="47" t="s">
        <v>8</v>
      </c>
      <c r="F246" s="47" t="s">
        <v>367</v>
      </c>
      <c r="G246" s="97" t="s">
        <v>368</v>
      </c>
    </row>
    <row r="247" customFormat="false" ht="14.25" hidden="false" customHeight="false" outlineLevel="0" collapsed="false">
      <c r="A247" s="47" t="s">
        <v>147</v>
      </c>
      <c r="B247" s="47" t="n">
        <v>44551</v>
      </c>
      <c r="C247" s="47" t="s">
        <v>844</v>
      </c>
      <c r="D247" s="47" t="s">
        <v>845</v>
      </c>
      <c r="E247" s="47" t="s">
        <v>8</v>
      </c>
      <c r="F247" s="47" t="s">
        <v>374</v>
      </c>
      <c r="G247" s="97" t="s">
        <v>381</v>
      </c>
    </row>
    <row r="248" customFormat="false" ht="14.25" hidden="false" customHeight="false" outlineLevel="0" collapsed="false">
      <c r="A248" s="47" t="s">
        <v>147</v>
      </c>
      <c r="B248" s="47" t="n">
        <v>44551</v>
      </c>
      <c r="C248" s="47" t="s">
        <v>846</v>
      </c>
      <c r="D248" s="47" t="s">
        <v>847</v>
      </c>
      <c r="E248" s="47" t="s">
        <v>8</v>
      </c>
      <c r="F248" s="47" t="s">
        <v>367</v>
      </c>
      <c r="G248" s="97" t="s">
        <v>368</v>
      </c>
    </row>
    <row r="249" customFormat="false" ht="14.25" hidden="false" customHeight="false" outlineLevel="0" collapsed="false">
      <c r="A249" s="47" t="s">
        <v>147</v>
      </c>
      <c r="B249" s="47" t="n">
        <v>44551</v>
      </c>
      <c r="C249" s="47" t="s">
        <v>848</v>
      </c>
      <c r="D249" s="47" t="s">
        <v>456</v>
      </c>
      <c r="E249" s="47" t="s">
        <v>8</v>
      </c>
      <c r="F249" s="47" t="s">
        <v>374</v>
      </c>
      <c r="G249" s="97" t="s">
        <v>371</v>
      </c>
    </row>
    <row r="250" customFormat="false" ht="14.25" hidden="false" customHeight="false" outlineLevel="0" collapsed="false">
      <c r="A250" s="47" t="s">
        <v>147</v>
      </c>
      <c r="B250" s="47" t="n">
        <v>44551</v>
      </c>
      <c r="C250" s="47" t="s">
        <v>849</v>
      </c>
      <c r="D250" s="47" t="s">
        <v>582</v>
      </c>
      <c r="E250" s="47" t="s">
        <v>8</v>
      </c>
      <c r="F250" s="47" t="s">
        <v>374</v>
      </c>
      <c r="G250" s="97" t="s">
        <v>392</v>
      </c>
    </row>
    <row r="251" customFormat="false" ht="14.25" hidden="false" customHeight="false" outlineLevel="0" collapsed="false">
      <c r="A251" s="47" t="s">
        <v>147</v>
      </c>
      <c r="B251" s="47" t="n">
        <v>44551</v>
      </c>
      <c r="C251" s="47" t="s">
        <v>850</v>
      </c>
      <c r="D251" s="47" t="s">
        <v>851</v>
      </c>
      <c r="E251" s="47" t="s">
        <v>8</v>
      </c>
      <c r="F251" s="47" t="s">
        <v>367</v>
      </c>
      <c r="G251" s="97" t="s">
        <v>368</v>
      </c>
    </row>
    <row r="252" customFormat="false" ht="14.25" hidden="false" customHeight="false" outlineLevel="0" collapsed="false">
      <c r="A252" s="47" t="s">
        <v>147</v>
      </c>
      <c r="B252" s="47" t="n">
        <v>44551</v>
      </c>
      <c r="C252" s="47" t="s">
        <v>852</v>
      </c>
      <c r="D252" s="47" t="s">
        <v>853</v>
      </c>
      <c r="E252" s="47" t="s">
        <v>8</v>
      </c>
      <c r="F252" s="47" t="s">
        <v>374</v>
      </c>
      <c r="G252" s="97" t="s">
        <v>392</v>
      </c>
    </row>
    <row r="253" customFormat="false" ht="14.25" hidden="false" customHeight="false" outlineLevel="0" collapsed="false">
      <c r="A253" s="47" t="s">
        <v>147</v>
      </c>
      <c r="B253" s="47" t="n">
        <v>44551</v>
      </c>
      <c r="C253" s="47" t="s">
        <v>854</v>
      </c>
      <c r="D253" s="47" t="s">
        <v>855</v>
      </c>
      <c r="E253" s="47" t="s">
        <v>8</v>
      </c>
      <c r="F253" s="47" t="s">
        <v>367</v>
      </c>
      <c r="G253" s="97" t="s">
        <v>368</v>
      </c>
    </row>
    <row r="254" customFormat="false" ht="14.25" hidden="false" customHeight="false" outlineLevel="0" collapsed="false">
      <c r="A254" s="47" t="s">
        <v>147</v>
      </c>
      <c r="B254" s="47" t="n">
        <v>44551</v>
      </c>
      <c r="C254" s="47" t="s">
        <v>856</v>
      </c>
      <c r="D254" s="47" t="s">
        <v>857</v>
      </c>
      <c r="E254" s="47" t="s">
        <v>8</v>
      </c>
      <c r="F254" s="47" t="s">
        <v>374</v>
      </c>
      <c r="G254" s="97" t="s">
        <v>381</v>
      </c>
    </row>
    <row r="255" customFormat="false" ht="14.25" hidden="false" customHeight="false" outlineLevel="0" collapsed="false">
      <c r="A255" s="47" t="s">
        <v>147</v>
      </c>
      <c r="B255" s="47" t="n">
        <v>44551</v>
      </c>
      <c r="C255" s="47" t="s">
        <v>858</v>
      </c>
      <c r="D255" s="47" t="s">
        <v>458</v>
      </c>
      <c r="E255" s="47" t="s">
        <v>8</v>
      </c>
      <c r="F255" s="47" t="s">
        <v>374</v>
      </c>
      <c r="G255" s="97" t="s">
        <v>371</v>
      </c>
    </row>
    <row r="256" customFormat="false" ht="14.25" hidden="false" customHeight="false" outlineLevel="0" collapsed="false">
      <c r="A256" s="47" t="s">
        <v>147</v>
      </c>
      <c r="B256" s="47" t="n">
        <v>44551</v>
      </c>
      <c r="C256" s="47" t="s">
        <v>859</v>
      </c>
      <c r="D256" s="47" t="s">
        <v>860</v>
      </c>
      <c r="E256" s="47" t="s">
        <v>8</v>
      </c>
      <c r="F256" s="47" t="s">
        <v>367</v>
      </c>
      <c r="G256" s="97" t="s">
        <v>368</v>
      </c>
    </row>
    <row r="257" customFormat="false" ht="14.25" hidden="false" customHeight="false" outlineLevel="0" collapsed="false">
      <c r="A257" s="47" t="s">
        <v>147</v>
      </c>
      <c r="B257" s="47" t="n">
        <v>44551</v>
      </c>
      <c r="C257" s="47" t="s">
        <v>861</v>
      </c>
      <c r="D257" s="47" t="s">
        <v>862</v>
      </c>
      <c r="E257" s="47" t="s">
        <v>8</v>
      </c>
      <c r="F257" s="47" t="s">
        <v>374</v>
      </c>
      <c r="G257" s="97" t="s">
        <v>371</v>
      </c>
    </row>
    <row r="258" customFormat="false" ht="14.25" hidden="false" customHeight="false" outlineLevel="0" collapsed="false">
      <c r="A258" s="47" t="s">
        <v>147</v>
      </c>
      <c r="B258" s="47" t="n">
        <v>44551</v>
      </c>
      <c r="C258" s="47" t="s">
        <v>863</v>
      </c>
      <c r="D258" s="47" t="s">
        <v>864</v>
      </c>
      <c r="E258" s="47" t="s">
        <v>8</v>
      </c>
      <c r="F258" s="47" t="s">
        <v>367</v>
      </c>
      <c r="G258" s="97" t="s">
        <v>368</v>
      </c>
    </row>
    <row r="259" customFormat="false" ht="14.25" hidden="false" customHeight="false" outlineLevel="0" collapsed="false">
      <c r="A259" s="47" t="s">
        <v>147</v>
      </c>
      <c r="B259" s="47" t="n">
        <v>44551</v>
      </c>
      <c r="C259" s="47" t="s">
        <v>223</v>
      </c>
      <c r="D259" s="47" t="s">
        <v>865</v>
      </c>
      <c r="E259" s="47" t="s">
        <v>8</v>
      </c>
      <c r="F259" s="47" t="s">
        <v>374</v>
      </c>
      <c r="G259" s="97" t="s">
        <v>381</v>
      </c>
    </row>
    <row r="260" customFormat="false" ht="14.25" hidden="false" customHeight="false" outlineLevel="0" collapsed="false">
      <c r="A260" s="47" t="s">
        <v>147</v>
      </c>
      <c r="B260" s="47" t="n">
        <v>44551</v>
      </c>
      <c r="C260" s="47" t="s">
        <v>866</v>
      </c>
      <c r="D260" s="47" t="s">
        <v>867</v>
      </c>
      <c r="E260" s="47" t="s">
        <v>8</v>
      </c>
      <c r="F260" s="47" t="s">
        <v>367</v>
      </c>
      <c r="G260" s="97" t="s">
        <v>368</v>
      </c>
    </row>
    <row r="261" customFormat="false" ht="14.25" hidden="false" customHeight="false" outlineLevel="0" collapsed="false">
      <c r="A261" s="47" t="s">
        <v>147</v>
      </c>
      <c r="B261" s="47" t="n">
        <v>44551</v>
      </c>
      <c r="C261" s="47" t="s">
        <v>868</v>
      </c>
      <c r="D261" s="47" t="s">
        <v>869</v>
      </c>
      <c r="E261" s="47" t="s">
        <v>8</v>
      </c>
      <c r="F261" s="47" t="s">
        <v>367</v>
      </c>
      <c r="G261" s="97" t="s">
        <v>368</v>
      </c>
    </row>
    <row r="262" customFormat="false" ht="14.25" hidden="false" customHeight="false" outlineLevel="0" collapsed="false">
      <c r="A262" s="47" t="s">
        <v>147</v>
      </c>
      <c r="B262" s="47" t="n">
        <v>44551</v>
      </c>
      <c r="C262" s="47" t="s">
        <v>870</v>
      </c>
      <c r="D262" s="47" t="s">
        <v>871</v>
      </c>
      <c r="E262" s="47" t="s">
        <v>8</v>
      </c>
      <c r="F262" s="47" t="s">
        <v>374</v>
      </c>
      <c r="G262" s="97" t="s">
        <v>381</v>
      </c>
    </row>
    <row r="263" customFormat="false" ht="14.25" hidden="false" customHeight="false" outlineLevel="0" collapsed="false">
      <c r="A263" s="47" t="s">
        <v>147</v>
      </c>
      <c r="B263" s="47" t="n">
        <v>44551</v>
      </c>
      <c r="C263" s="47" t="s">
        <v>872</v>
      </c>
      <c r="D263" s="47" t="s">
        <v>873</v>
      </c>
      <c r="E263" s="47" t="s">
        <v>8</v>
      </c>
      <c r="F263" s="47" t="s">
        <v>374</v>
      </c>
      <c r="G263" s="97" t="s">
        <v>381</v>
      </c>
    </row>
    <row r="264" customFormat="false" ht="14.25" hidden="false" customHeight="false" outlineLevel="0" collapsed="false">
      <c r="A264" s="47" t="s">
        <v>147</v>
      </c>
      <c r="B264" s="47" t="n">
        <v>44551</v>
      </c>
      <c r="C264" s="47" t="s">
        <v>874</v>
      </c>
      <c r="D264" s="47" t="s">
        <v>875</v>
      </c>
      <c r="E264" s="47" t="s">
        <v>8</v>
      </c>
      <c r="F264" s="47" t="s">
        <v>367</v>
      </c>
      <c r="G264" s="97" t="s">
        <v>368</v>
      </c>
    </row>
    <row r="265" customFormat="false" ht="14.25" hidden="false" customHeight="false" outlineLevel="0" collapsed="false">
      <c r="A265" s="47" t="s">
        <v>147</v>
      </c>
      <c r="B265" s="47" t="n">
        <v>44551</v>
      </c>
      <c r="C265" s="47" t="s">
        <v>876</v>
      </c>
      <c r="D265" s="47" t="s">
        <v>877</v>
      </c>
      <c r="E265" s="47" t="s">
        <v>8</v>
      </c>
      <c r="F265" s="47" t="s">
        <v>374</v>
      </c>
      <c r="G265" s="97" t="s">
        <v>392</v>
      </c>
    </row>
    <row r="266" customFormat="false" ht="14.25" hidden="false" customHeight="false" outlineLevel="0" collapsed="false">
      <c r="A266" s="47" t="s">
        <v>147</v>
      </c>
      <c r="B266" s="47" t="n">
        <v>44551</v>
      </c>
      <c r="C266" s="47" t="s">
        <v>878</v>
      </c>
      <c r="D266" s="47" t="s">
        <v>879</v>
      </c>
      <c r="E266" s="47" t="s">
        <v>8</v>
      </c>
      <c r="F266" s="47" t="s">
        <v>374</v>
      </c>
      <c r="G266" s="97" t="s">
        <v>381</v>
      </c>
    </row>
    <row r="267" customFormat="false" ht="14.25" hidden="false" customHeight="false" outlineLevel="0" collapsed="false">
      <c r="A267" s="47" t="s">
        <v>147</v>
      </c>
      <c r="B267" s="47" t="n">
        <v>44551</v>
      </c>
      <c r="C267" s="47" t="s">
        <v>880</v>
      </c>
      <c r="D267" s="47" t="s">
        <v>881</v>
      </c>
      <c r="E267" s="47" t="s">
        <v>8</v>
      </c>
      <c r="F267" s="47" t="s">
        <v>374</v>
      </c>
      <c r="G267" s="97" t="s">
        <v>371</v>
      </c>
    </row>
    <row r="268" customFormat="false" ht="14.25" hidden="false" customHeight="false" outlineLevel="0" collapsed="false">
      <c r="A268" s="47" t="s">
        <v>147</v>
      </c>
      <c r="B268" s="47" t="n">
        <v>44551</v>
      </c>
      <c r="C268" s="47" t="s">
        <v>882</v>
      </c>
      <c r="D268" s="47" t="s">
        <v>883</v>
      </c>
      <c r="E268" s="47" t="s">
        <v>8</v>
      </c>
      <c r="F268" s="47" t="s">
        <v>374</v>
      </c>
      <c r="G268" s="97" t="s">
        <v>392</v>
      </c>
    </row>
    <row r="269" customFormat="false" ht="14.25" hidden="false" customHeight="false" outlineLevel="0" collapsed="false">
      <c r="A269" s="47" t="s">
        <v>147</v>
      </c>
      <c r="B269" s="47" t="n">
        <v>44551</v>
      </c>
      <c r="C269" s="47" t="s">
        <v>884</v>
      </c>
      <c r="D269" s="47" t="s">
        <v>885</v>
      </c>
      <c r="E269" s="47" t="s">
        <v>8</v>
      </c>
      <c r="F269" s="47" t="s">
        <v>374</v>
      </c>
      <c r="G269" s="97" t="s">
        <v>392</v>
      </c>
    </row>
    <row r="270" customFormat="false" ht="14.25" hidden="false" customHeight="false" outlineLevel="0" collapsed="false">
      <c r="A270" s="47" t="s">
        <v>147</v>
      </c>
      <c r="B270" s="47" t="n">
        <v>44551</v>
      </c>
      <c r="C270" s="47" t="s">
        <v>886</v>
      </c>
      <c r="D270" s="47" t="s">
        <v>887</v>
      </c>
      <c r="E270" s="47" t="s">
        <v>8</v>
      </c>
      <c r="F270" s="47" t="s">
        <v>367</v>
      </c>
      <c r="G270" s="97" t="s">
        <v>368</v>
      </c>
    </row>
    <row r="271" customFormat="false" ht="14.25" hidden="false" customHeight="false" outlineLevel="0" collapsed="false">
      <c r="A271" s="47" t="s">
        <v>147</v>
      </c>
      <c r="B271" s="47" t="n">
        <v>44551</v>
      </c>
      <c r="C271" s="47" t="s">
        <v>888</v>
      </c>
      <c r="D271" s="47" t="s">
        <v>889</v>
      </c>
      <c r="E271" s="47" t="s">
        <v>8</v>
      </c>
      <c r="F271" s="47" t="s">
        <v>367</v>
      </c>
      <c r="G271" s="97" t="s">
        <v>368</v>
      </c>
    </row>
    <row r="272" customFormat="false" ht="14.25" hidden="false" customHeight="false" outlineLevel="0" collapsed="false">
      <c r="A272" s="47" t="s">
        <v>147</v>
      </c>
      <c r="B272" s="47" t="n">
        <v>44551</v>
      </c>
      <c r="C272" s="47" t="s">
        <v>890</v>
      </c>
      <c r="D272" s="47" t="s">
        <v>891</v>
      </c>
      <c r="E272" s="47" t="s">
        <v>8</v>
      </c>
      <c r="F272" s="47" t="s">
        <v>374</v>
      </c>
      <c r="G272" s="97" t="s">
        <v>381</v>
      </c>
    </row>
    <row r="273" customFormat="false" ht="14.25" hidden="false" customHeight="false" outlineLevel="0" collapsed="false">
      <c r="A273" s="47" t="s">
        <v>147</v>
      </c>
      <c r="B273" s="47" t="n">
        <v>44551</v>
      </c>
      <c r="C273" s="47" t="s">
        <v>892</v>
      </c>
      <c r="D273" s="47" t="s">
        <v>893</v>
      </c>
      <c r="E273" s="47" t="s">
        <v>8</v>
      </c>
      <c r="F273" s="47" t="s">
        <v>374</v>
      </c>
      <c r="G273" s="97" t="s">
        <v>392</v>
      </c>
    </row>
    <row r="274" customFormat="false" ht="14.25" hidden="false" customHeight="false" outlineLevel="0" collapsed="false">
      <c r="A274" s="47" t="s">
        <v>147</v>
      </c>
      <c r="B274" s="47" t="n">
        <v>44551</v>
      </c>
      <c r="C274" s="47" t="s">
        <v>894</v>
      </c>
      <c r="D274" s="47" t="s">
        <v>895</v>
      </c>
      <c r="E274" s="47" t="s">
        <v>8</v>
      </c>
      <c r="F274" s="47" t="s">
        <v>374</v>
      </c>
      <c r="G274" s="97" t="s">
        <v>392</v>
      </c>
    </row>
    <row r="275" customFormat="false" ht="14.25" hidden="false" customHeight="false" outlineLevel="0" collapsed="false">
      <c r="A275" s="47" t="s">
        <v>147</v>
      </c>
      <c r="B275" s="47" t="n">
        <v>44551</v>
      </c>
      <c r="C275" s="47" t="s">
        <v>896</v>
      </c>
      <c r="D275" s="47" t="s">
        <v>897</v>
      </c>
      <c r="E275" s="47" t="s">
        <v>8</v>
      </c>
      <c r="F275" s="47" t="s">
        <v>367</v>
      </c>
      <c r="G275" s="97" t="s">
        <v>368</v>
      </c>
    </row>
    <row r="276" customFormat="false" ht="14.25" hidden="false" customHeight="false" outlineLevel="0" collapsed="false">
      <c r="A276" s="47" t="s">
        <v>147</v>
      </c>
      <c r="B276" s="47" t="n">
        <v>44551</v>
      </c>
      <c r="C276" s="47" t="s">
        <v>898</v>
      </c>
      <c r="D276" s="47" t="s">
        <v>899</v>
      </c>
      <c r="E276" s="47" t="s">
        <v>8</v>
      </c>
      <c r="F276" s="47" t="s">
        <v>367</v>
      </c>
      <c r="G276" s="97" t="s">
        <v>368</v>
      </c>
    </row>
    <row r="277" customFormat="false" ht="14.25" hidden="false" customHeight="false" outlineLevel="0" collapsed="false">
      <c r="A277" s="47" t="s">
        <v>147</v>
      </c>
      <c r="B277" s="47" t="n">
        <v>44551</v>
      </c>
      <c r="C277" s="47" t="s">
        <v>900</v>
      </c>
      <c r="D277" s="47" t="s">
        <v>901</v>
      </c>
      <c r="E277" s="47" t="s">
        <v>8</v>
      </c>
      <c r="F277" s="47" t="s">
        <v>374</v>
      </c>
      <c r="G277" s="97" t="s">
        <v>381</v>
      </c>
    </row>
    <row r="278" customFormat="false" ht="14.25" hidden="false" customHeight="false" outlineLevel="0" collapsed="false">
      <c r="A278" s="47" t="s">
        <v>147</v>
      </c>
      <c r="B278" s="47" t="n">
        <v>44551</v>
      </c>
      <c r="C278" s="47" t="s">
        <v>902</v>
      </c>
      <c r="D278" s="47" t="s">
        <v>903</v>
      </c>
      <c r="E278" s="47" t="s">
        <v>8</v>
      </c>
      <c r="F278" s="47" t="s">
        <v>367</v>
      </c>
      <c r="G278" s="97" t="s">
        <v>368</v>
      </c>
    </row>
    <row r="279" customFormat="false" ht="14.25" hidden="false" customHeight="false" outlineLevel="0" collapsed="false">
      <c r="A279" s="47" t="s">
        <v>147</v>
      </c>
      <c r="B279" s="47" t="n">
        <v>44551</v>
      </c>
      <c r="C279" s="47" t="s">
        <v>904</v>
      </c>
      <c r="D279" s="47" t="s">
        <v>905</v>
      </c>
      <c r="E279" s="47" t="s">
        <v>8</v>
      </c>
      <c r="F279" s="47" t="s">
        <v>374</v>
      </c>
      <c r="G279" s="97" t="s">
        <v>371</v>
      </c>
    </row>
    <row r="280" customFormat="false" ht="14.25" hidden="false" customHeight="false" outlineLevel="0" collapsed="false">
      <c r="A280" s="47" t="s">
        <v>147</v>
      </c>
      <c r="B280" s="47" t="n">
        <v>44551</v>
      </c>
      <c r="C280" s="47" t="s">
        <v>906</v>
      </c>
      <c r="D280" s="47" t="s">
        <v>907</v>
      </c>
      <c r="E280" s="47" t="s">
        <v>8</v>
      </c>
      <c r="F280" s="47" t="s">
        <v>367</v>
      </c>
      <c r="G280" s="97" t="s">
        <v>368</v>
      </c>
    </row>
    <row r="281" customFormat="false" ht="14.25" hidden="false" customHeight="false" outlineLevel="0" collapsed="false">
      <c r="A281" s="47" t="s">
        <v>147</v>
      </c>
      <c r="B281" s="47" t="n">
        <v>44551</v>
      </c>
      <c r="C281" s="47" t="s">
        <v>908</v>
      </c>
      <c r="D281" s="47" t="s">
        <v>909</v>
      </c>
      <c r="E281" s="47" t="s">
        <v>8</v>
      </c>
      <c r="F281" s="47" t="s">
        <v>374</v>
      </c>
      <c r="G281" s="97" t="s">
        <v>392</v>
      </c>
    </row>
    <row r="282" customFormat="false" ht="14.25" hidden="false" customHeight="false" outlineLevel="0" collapsed="false">
      <c r="A282" s="47" t="s">
        <v>147</v>
      </c>
      <c r="B282" s="47" t="n">
        <v>44551</v>
      </c>
      <c r="C282" s="47" t="s">
        <v>910</v>
      </c>
      <c r="D282" s="47" t="s">
        <v>911</v>
      </c>
      <c r="E282" s="47" t="s">
        <v>8</v>
      </c>
      <c r="F282" s="47" t="s">
        <v>367</v>
      </c>
      <c r="G282" s="97" t="s">
        <v>368</v>
      </c>
    </row>
    <row r="283" customFormat="false" ht="14.25" hidden="false" customHeight="false" outlineLevel="0" collapsed="false">
      <c r="A283" s="47" t="s">
        <v>147</v>
      </c>
      <c r="B283" s="47" t="n">
        <v>44551</v>
      </c>
      <c r="C283" s="47" t="s">
        <v>912</v>
      </c>
      <c r="D283" s="47" t="s">
        <v>913</v>
      </c>
      <c r="E283" s="47" t="s">
        <v>8</v>
      </c>
      <c r="F283" s="47" t="s">
        <v>374</v>
      </c>
      <c r="G283" s="97" t="s">
        <v>381</v>
      </c>
    </row>
    <row r="284" customFormat="false" ht="14.25" hidden="false" customHeight="false" outlineLevel="0" collapsed="false">
      <c r="A284" s="47" t="s">
        <v>147</v>
      </c>
      <c r="B284" s="47" t="n">
        <v>44551</v>
      </c>
      <c r="C284" s="47" t="s">
        <v>914</v>
      </c>
      <c r="D284" s="47" t="s">
        <v>915</v>
      </c>
      <c r="E284" s="47" t="s">
        <v>8</v>
      </c>
      <c r="F284" s="47" t="s">
        <v>367</v>
      </c>
      <c r="G284" s="97" t="s">
        <v>368</v>
      </c>
    </row>
    <row r="285" customFormat="false" ht="14.25" hidden="false" customHeight="false" outlineLevel="0" collapsed="false">
      <c r="A285" s="47" t="s">
        <v>147</v>
      </c>
      <c r="B285" s="47" t="n">
        <v>44551</v>
      </c>
      <c r="C285" s="47" t="s">
        <v>916</v>
      </c>
      <c r="D285" s="47" t="s">
        <v>917</v>
      </c>
      <c r="E285" s="47" t="s">
        <v>8</v>
      </c>
      <c r="F285" s="47" t="s">
        <v>367</v>
      </c>
      <c r="G285" s="97" t="s">
        <v>368</v>
      </c>
    </row>
    <row r="286" customFormat="false" ht="14.25" hidden="false" customHeight="false" outlineLevel="0" collapsed="false">
      <c r="A286" s="47" t="s">
        <v>147</v>
      </c>
      <c r="B286" s="47" t="n">
        <v>44551</v>
      </c>
      <c r="C286" s="47" t="s">
        <v>918</v>
      </c>
      <c r="D286" s="47" t="s">
        <v>919</v>
      </c>
      <c r="E286" s="47" t="s">
        <v>8</v>
      </c>
      <c r="F286" s="47" t="s">
        <v>367</v>
      </c>
      <c r="G286" s="97" t="s">
        <v>368</v>
      </c>
    </row>
    <row r="287" customFormat="false" ht="14.25" hidden="false" customHeight="false" outlineLevel="0" collapsed="false">
      <c r="A287" s="47" t="s">
        <v>147</v>
      </c>
      <c r="B287" s="47" t="n">
        <v>44551</v>
      </c>
      <c r="C287" s="47" t="s">
        <v>920</v>
      </c>
      <c r="D287" s="47" t="s">
        <v>921</v>
      </c>
      <c r="E287" s="47" t="s">
        <v>8</v>
      </c>
      <c r="F287" s="47" t="s">
        <v>367</v>
      </c>
      <c r="G287" s="97" t="s">
        <v>368</v>
      </c>
    </row>
    <row r="288" customFormat="false" ht="14.25" hidden="false" customHeight="false" outlineLevel="0" collapsed="false">
      <c r="A288" s="47" t="s">
        <v>147</v>
      </c>
      <c r="B288" s="47" t="n">
        <v>44551</v>
      </c>
      <c r="C288" s="47" t="s">
        <v>922</v>
      </c>
      <c r="D288" s="47" t="s">
        <v>923</v>
      </c>
      <c r="E288" s="47" t="s">
        <v>8</v>
      </c>
      <c r="F288" s="47" t="s">
        <v>367</v>
      </c>
      <c r="G288" s="97" t="s">
        <v>368</v>
      </c>
    </row>
    <row r="289" customFormat="false" ht="14.25" hidden="false" customHeight="false" outlineLevel="0" collapsed="false">
      <c r="A289" s="47" t="s">
        <v>147</v>
      </c>
      <c r="B289" s="47" t="n">
        <v>44551</v>
      </c>
      <c r="C289" s="47" t="s">
        <v>924</v>
      </c>
      <c r="D289" s="47" t="s">
        <v>925</v>
      </c>
      <c r="E289" s="47" t="s">
        <v>8</v>
      </c>
      <c r="F289" s="47" t="s">
        <v>367</v>
      </c>
      <c r="G289" s="97" t="s">
        <v>368</v>
      </c>
    </row>
    <row r="290" customFormat="false" ht="14.25" hidden="false" customHeight="false" outlineLevel="0" collapsed="false">
      <c r="A290" s="47" t="s">
        <v>147</v>
      </c>
      <c r="B290" s="47" t="n">
        <v>44551</v>
      </c>
      <c r="C290" s="47" t="s">
        <v>926</v>
      </c>
      <c r="D290" s="47" t="s">
        <v>927</v>
      </c>
      <c r="E290" s="47" t="s">
        <v>8</v>
      </c>
      <c r="F290" s="47" t="s">
        <v>367</v>
      </c>
      <c r="G290" s="97" t="s">
        <v>368</v>
      </c>
    </row>
    <row r="291" customFormat="false" ht="14.25" hidden="false" customHeight="false" outlineLevel="0" collapsed="false">
      <c r="A291" s="47" t="s">
        <v>147</v>
      </c>
      <c r="B291" s="47" t="n">
        <v>44551</v>
      </c>
      <c r="C291" s="47" t="s">
        <v>928</v>
      </c>
      <c r="D291" s="47" t="s">
        <v>929</v>
      </c>
      <c r="E291" s="47" t="s">
        <v>8</v>
      </c>
      <c r="F291" s="47" t="s">
        <v>374</v>
      </c>
      <c r="G291" s="97" t="s">
        <v>381</v>
      </c>
    </row>
    <row r="292" customFormat="false" ht="14.25" hidden="false" customHeight="false" outlineLevel="0" collapsed="false">
      <c r="A292" s="47" t="s">
        <v>147</v>
      </c>
      <c r="B292" s="47" t="n">
        <v>44551</v>
      </c>
      <c r="C292" s="47" t="s">
        <v>930</v>
      </c>
      <c r="D292" s="47" t="s">
        <v>931</v>
      </c>
      <c r="E292" s="47" t="s">
        <v>8</v>
      </c>
      <c r="F292" s="47" t="s">
        <v>374</v>
      </c>
      <c r="G292" s="97" t="s">
        <v>392</v>
      </c>
    </row>
    <row r="293" customFormat="false" ht="14.25" hidden="false" customHeight="false" outlineLevel="0" collapsed="false">
      <c r="A293" s="47" t="s">
        <v>147</v>
      </c>
      <c r="B293" s="47" t="n">
        <v>44551</v>
      </c>
      <c r="C293" s="47" t="s">
        <v>932</v>
      </c>
      <c r="D293" s="47" t="s">
        <v>933</v>
      </c>
      <c r="E293" s="47" t="s">
        <v>8</v>
      </c>
      <c r="F293" s="47" t="s">
        <v>367</v>
      </c>
      <c r="G293" s="97" t="s">
        <v>368</v>
      </c>
    </row>
    <row r="294" customFormat="false" ht="14.25" hidden="false" customHeight="false" outlineLevel="0" collapsed="false">
      <c r="A294" s="47" t="s">
        <v>147</v>
      </c>
      <c r="B294" s="47" t="n">
        <v>44551</v>
      </c>
      <c r="C294" s="47" t="s">
        <v>934</v>
      </c>
      <c r="D294" s="47" t="s">
        <v>935</v>
      </c>
      <c r="E294" s="47" t="s">
        <v>8</v>
      </c>
      <c r="F294" s="47" t="s">
        <v>367</v>
      </c>
      <c r="G294" s="97" t="s">
        <v>368</v>
      </c>
    </row>
    <row r="295" customFormat="false" ht="14.25" hidden="false" customHeight="false" outlineLevel="0" collapsed="false">
      <c r="A295" s="47" t="s">
        <v>147</v>
      </c>
      <c r="B295" s="47" t="n">
        <v>44551</v>
      </c>
      <c r="C295" s="47" t="s">
        <v>936</v>
      </c>
      <c r="D295" s="47" t="s">
        <v>937</v>
      </c>
      <c r="E295" s="47" t="s">
        <v>8</v>
      </c>
      <c r="F295" s="47" t="s">
        <v>374</v>
      </c>
      <c r="G295" s="97" t="s">
        <v>381</v>
      </c>
    </row>
    <row r="296" customFormat="false" ht="14.25" hidden="false" customHeight="false" outlineLevel="0" collapsed="false">
      <c r="A296" s="47" t="s">
        <v>147</v>
      </c>
      <c r="B296" s="47" t="n">
        <v>44551</v>
      </c>
      <c r="C296" s="47" t="s">
        <v>938</v>
      </c>
      <c r="D296" s="47" t="s">
        <v>939</v>
      </c>
      <c r="E296" s="47" t="s">
        <v>8</v>
      </c>
      <c r="F296" s="47" t="s">
        <v>367</v>
      </c>
      <c r="G296" s="97" t="s">
        <v>368</v>
      </c>
    </row>
    <row r="297" customFormat="false" ht="14.25" hidden="false" customHeight="false" outlineLevel="0" collapsed="false">
      <c r="A297" s="47" t="s">
        <v>147</v>
      </c>
      <c r="B297" s="47" t="n">
        <v>44551</v>
      </c>
      <c r="C297" s="47" t="s">
        <v>940</v>
      </c>
      <c r="D297" s="47" t="s">
        <v>941</v>
      </c>
      <c r="E297" s="47" t="s">
        <v>8</v>
      </c>
      <c r="F297" s="47" t="s">
        <v>367</v>
      </c>
      <c r="G297" s="97" t="s">
        <v>368</v>
      </c>
    </row>
    <row r="298" customFormat="false" ht="14.25" hidden="false" customHeight="false" outlineLevel="0" collapsed="false">
      <c r="A298" s="47" t="s">
        <v>147</v>
      </c>
      <c r="B298" s="47" t="n">
        <v>44551</v>
      </c>
      <c r="C298" s="47" t="s">
        <v>942</v>
      </c>
      <c r="D298" s="47" t="s">
        <v>943</v>
      </c>
      <c r="E298" s="47" t="s">
        <v>8</v>
      </c>
      <c r="F298" s="47" t="s">
        <v>367</v>
      </c>
      <c r="G298" s="97" t="s">
        <v>368</v>
      </c>
    </row>
    <row r="299" customFormat="false" ht="14.25" hidden="false" customHeight="false" outlineLevel="0" collapsed="false">
      <c r="A299" s="47" t="s">
        <v>147</v>
      </c>
      <c r="B299" s="47" t="n">
        <v>44551</v>
      </c>
      <c r="C299" s="47" t="s">
        <v>944</v>
      </c>
      <c r="D299" s="47" t="s">
        <v>945</v>
      </c>
      <c r="E299" s="47" t="s">
        <v>8</v>
      </c>
      <c r="F299" s="47" t="s">
        <v>367</v>
      </c>
      <c r="G299" s="97" t="s">
        <v>368</v>
      </c>
    </row>
    <row r="300" customFormat="false" ht="14.25" hidden="false" customHeight="false" outlineLevel="0" collapsed="false">
      <c r="A300" s="47" t="s">
        <v>147</v>
      </c>
      <c r="B300" s="47" t="n">
        <v>44551</v>
      </c>
      <c r="C300" s="47" t="s">
        <v>946</v>
      </c>
      <c r="D300" s="47" t="s">
        <v>947</v>
      </c>
      <c r="E300" s="47" t="s">
        <v>8</v>
      </c>
      <c r="F300" s="47" t="s">
        <v>374</v>
      </c>
      <c r="G300" s="97" t="s">
        <v>381</v>
      </c>
    </row>
    <row r="301" customFormat="false" ht="14.25" hidden="false" customHeight="false" outlineLevel="0" collapsed="false">
      <c r="A301" s="47" t="s">
        <v>147</v>
      </c>
      <c r="B301" s="47" t="n">
        <v>44551</v>
      </c>
      <c r="C301" s="47" t="s">
        <v>948</v>
      </c>
      <c r="D301" s="47" t="s">
        <v>949</v>
      </c>
      <c r="E301" s="47" t="s">
        <v>8</v>
      </c>
      <c r="F301" s="47" t="s">
        <v>367</v>
      </c>
      <c r="G301" s="97" t="s">
        <v>368</v>
      </c>
    </row>
    <row r="302" customFormat="false" ht="14.25" hidden="false" customHeight="false" outlineLevel="0" collapsed="false">
      <c r="A302" s="47" t="s">
        <v>147</v>
      </c>
      <c r="B302" s="47" t="n">
        <v>44551</v>
      </c>
      <c r="C302" s="47" t="s">
        <v>950</v>
      </c>
      <c r="D302" s="47" t="s">
        <v>881</v>
      </c>
      <c r="E302" s="47" t="s">
        <v>8</v>
      </c>
      <c r="F302" s="47" t="s">
        <v>367</v>
      </c>
      <c r="G302" s="97" t="s">
        <v>368</v>
      </c>
    </row>
    <row r="303" customFormat="false" ht="14.25" hidden="false" customHeight="false" outlineLevel="0" collapsed="false">
      <c r="A303" s="47" t="s">
        <v>147</v>
      </c>
      <c r="B303" s="47" t="n">
        <v>44551</v>
      </c>
      <c r="C303" s="47" t="s">
        <v>951</v>
      </c>
      <c r="D303" s="47" t="s">
        <v>952</v>
      </c>
      <c r="E303" s="47" t="s">
        <v>8</v>
      </c>
      <c r="F303" s="47" t="s">
        <v>374</v>
      </c>
      <c r="G303" s="97" t="s">
        <v>381</v>
      </c>
    </row>
    <row r="304" customFormat="false" ht="14.25" hidden="false" customHeight="false" outlineLevel="0" collapsed="false">
      <c r="A304" s="47" t="s">
        <v>147</v>
      </c>
      <c r="B304" s="47" t="n">
        <v>44551</v>
      </c>
      <c r="C304" s="47" t="s">
        <v>953</v>
      </c>
      <c r="D304" s="47" t="s">
        <v>843</v>
      </c>
      <c r="E304" s="47" t="s">
        <v>8</v>
      </c>
      <c r="F304" s="47" t="s">
        <v>374</v>
      </c>
      <c r="G304" s="97" t="s">
        <v>392</v>
      </c>
    </row>
    <row r="305" customFormat="false" ht="14.25" hidden="false" customHeight="false" outlineLevel="0" collapsed="false">
      <c r="A305" s="47" t="s">
        <v>147</v>
      </c>
      <c r="B305" s="47" t="n">
        <v>44551</v>
      </c>
      <c r="C305" s="47" t="s">
        <v>954</v>
      </c>
      <c r="D305" s="47" t="s">
        <v>955</v>
      </c>
      <c r="E305" s="47" t="s">
        <v>8</v>
      </c>
      <c r="F305" s="47" t="s">
        <v>367</v>
      </c>
      <c r="G305" s="97" t="s">
        <v>368</v>
      </c>
    </row>
    <row r="306" customFormat="false" ht="14.25" hidden="false" customHeight="false" outlineLevel="0" collapsed="false">
      <c r="A306" s="47" t="s">
        <v>147</v>
      </c>
      <c r="B306" s="47" t="n">
        <v>44551</v>
      </c>
      <c r="C306" s="47" t="s">
        <v>956</v>
      </c>
      <c r="D306" s="47" t="s">
        <v>957</v>
      </c>
      <c r="E306" s="47" t="s">
        <v>8</v>
      </c>
      <c r="F306" s="47" t="s">
        <v>367</v>
      </c>
      <c r="G306" s="97" t="s">
        <v>368</v>
      </c>
    </row>
    <row r="307" customFormat="false" ht="14.25" hidden="false" customHeight="false" outlineLevel="0" collapsed="false">
      <c r="A307" s="47" t="s">
        <v>147</v>
      </c>
      <c r="B307" s="47" t="n">
        <v>44551</v>
      </c>
      <c r="C307" s="47" t="s">
        <v>958</v>
      </c>
      <c r="D307" s="47" t="s">
        <v>959</v>
      </c>
      <c r="E307" s="47" t="s">
        <v>8</v>
      </c>
      <c r="F307" s="47" t="s">
        <v>367</v>
      </c>
      <c r="G307" s="97" t="s">
        <v>368</v>
      </c>
    </row>
    <row r="308" customFormat="false" ht="14.25" hidden="false" customHeight="false" outlineLevel="0" collapsed="false">
      <c r="A308" s="47" t="s">
        <v>147</v>
      </c>
      <c r="B308" s="47" t="n">
        <v>44551</v>
      </c>
      <c r="C308" s="47" t="s">
        <v>960</v>
      </c>
      <c r="D308" s="47" t="s">
        <v>961</v>
      </c>
      <c r="E308" s="47" t="s">
        <v>8</v>
      </c>
      <c r="F308" s="47" t="s">
        <v>367</v>
      </c>
      <c r="G308" s="97" t="s">
        <v>368</v>
      </c>
    </row>
    <row r="309" customFormat="false" ht="14.25" hidden="false" customHeight="false" outlineLevel="0" collapsed="false">
      <c r="A309" s="47" t="s">
        <v>147</v>
      </c>
      <c r="B309" s="47" t="n">
        <v>44551</v>
      </c>
      <c r="C309" s="47" t="s">
        <v>962</v>
      </c>
      <c r="D309" s="47" t="s">
        <v>963</v>
      </c>
      <c r="E309" s="47" t="s">
        <v>8</v>
      </c>
      <c r="F309" s="47" t="s">
        <v>367</v>
      </c>
      <c r="G309" s="97" t="s">
        <v>368</v>
      </c>
    </row>
    <row r="310" customFormat="false" ht="14.25" hidden="false" customHeight="false" outlineLevel="0" collapsed="false">
      <c r="A310" s="47" t="s">
        <v>147</v>
      </c>
      <c r="B310" s="47" t="n">
        <v>44551</v>
      </c>
      <c r="C310" s="47" t="s">
        <v>964</v>
      </c>
      <c r="D310" s="47" t="s">
        <v>965</v>
      </c>
      <c r="E310" s="47" t="s">
        <v>8</v>
      </c>
      <c r="F310" s="47" t="s">
        <v>367</v>
      </c>
      <c r="G310" s="97" t="s">
        <v>368</v>
      </c>
    </row>
    <row r="311" customFormat="false" ht="14.25" hidden="false" customHeight="false" outlineLevel="0" collapsed="false">
      <c r="A311" s="47" t="s">
        <v>147</v>
      </c>
      <c r="B311" s="47" t="n">
        <v>44551</v>
      </c>
      <c r="C311" s="47" t="s">
        <v>966</v>
      </c>
      <c r="D311" s="47" t="s">
        <v>967</v>
      </c>
      <c r="E311" s="47" t="s">
        <v>8</v>
      </c>
      <c r="F311" s="47" t="s">
        <v>367</v>
      </c>
      <c r="G311" s="97" t="s">
        <v>368</v>
      </c>
    </row>
    <row r="312" customFormat="false" ht="14.25" hidden="false" customHeight="false" outlineLevel="0" collapsed="false">
      <c r="A312" s="47" t="s">
        <v>147</v>
      </c>
      <c r="B312" s="47" t="n">
        <v>44551</v>
      </c>
      <c r="C312" s="47" t="s">
        <v>968</v>
      </c>
      <c r="D312" s="47" t="s">
        <v>969</v>
      </c>
      <c r="E312" s="47" t="s">
        <v>8</v>
      </c>
      <c r="F312" s="47" t="s">
        <v>367</v>
      </c>
      <c r="G312" s="97" t="s">
        <v>368</v>
      </c>
    </row>
    <row r="313" customFormat="false" ht="14.25" hidden="false" customHeight="false" outlineLevel="0" collapsed="false">
      <c r="A313" s="47" t="s">
        <v>147</v>
      </c>
      <c r="B313" s="47" t="n">
        <v>44551</v>
      </c>
      <c r="C313" s="47" t="s">
        <v>970</v>
      </c>
      <c r="D313" s="47" t="s">
        <v>971</v>
      </c>
      <c r="E313" s="47" t="s">
        <v>8</v>
      </c>
      <c r="F313" s="47" t="s">
        <v>367</v>
      </c>
      <c r="G313" s="97" t="s">
        <v>368</v>
      </c>
    </row>
    <row r="314" customFormat="false" ht="14.25" hidden="false" customHeight="false" outlineLevel="0" collapsed="false">
      <c r="A314" s="47" t="s">
        <v>147</v>
      </c>
      <c r="B314" s="47" t="n">
        <v>44551</v>
      </c>
      <c r="C314" s="47" t="s">
        <v>972</v>
      </c>
      <c r="D314" s="47" t="s">
        <v>973</v>
      </c>
      <c r="E314" s="47" t="s">
        <v>8</v>
      </c>
      <c r="F314" s="47" t="s">
        <v>374</v>
      </c>
      <c r="G314" s="97" t="s">
        <v>381</v>
      </c>
    </row>
    <row r="315" customFormat="false" ht="14.25" hidden="false" customHeight="false" outlineLevel="0" collapsed="false">
      <c r="A315" s="47" t="s">
        <v>147</v>
      </c>
      <c r="B315" s="47" t="n">
        <v>44551</v>
      </c>
      <c r="C315" s="47" t="s">
        <v>220</v>
      </c>
      <c r="D315" s="47" t="s">
        <v>974</v>
      </c>
      <c r="E315" s="47" t="s">
        <v>8</v>
      </c>
      <c r="F315" s="47" t="s">
        <v>367</v>
      </c>
      <c r="G315" s="97" t="s">
        <v>368</v>
      </c>
    </row>
    <row r="316" customFormat="false" ht="14.25" hidden="false" customHeight="false" outlineLevel="0" collapsed="false">
      <c r="A316" s="47" t="s">
        <v>147</v>
      </c>
      <c r="B316" s="47" t="n">
        <v>44551</v>
      </c>
      <c r="C316" s="47" t="s">
        <v>975</v>
      </c>
      <c r="D316" s="47" t="s">
        <v>976</v>
      </c>
      <c r="E316" s="47" t="s">
        <v>8</v>
      </c>
      <c r="F316" s="47" t="s">
        <v>367</v>
      </c>
      <c r="G316" s="97" t="s">
        <v>368</v>
      </c>
    </row>
    <row r="317" customFormat="false" ht="14.25" hidden="false" customHeight="false" outlineLevel="0" collapsed="false">
      <c r="A317" s="47" t="s">
        <v>147</v>
      </c>
      <c r="B317" s="47" t="n">
        <v>44551</v>
      </c>
      <c r="C317" s="47" t="s">
        <v>977</v>
      </c>
      <c r="D317" s="47" t="s">
        <v>978</v>
      </c>
      <c r="E317" s="47" t="s">
        <v>8</v>
      </c>
      <c r="F317" s="47" t="s">
        <v>367</v>
      </c>
      <c r="G317" s="97" t="s">
        <v>368</v>
      </c>
    </row>
    <row r="318" customFormat="false" ht="14.25" hidden="false" customHeight="false" outlineLevel="0" collapsed="false">
      <c r="A318" s="47" t="s">
        <v>147</v>
      </c>
      <c r="B318" s="47" t="n">
        <v>44551</v>
      </c>
      <c r="C318" s="47" t="s">
        <v>979</v>
      </c>
      <c r="D318" s="47" t="s">
        <v>980</v>
      </c>
      <c r="E318" s="47" t="s">
        <v>8</v>
      </c>
      <c r="F318" s="47" t="s">
        <v>367</v>
      </c>
      <c r="G318" s="97" t="s">
        <v>368</v>
      </c>
    </row>
    <row r="319" customFormat="false" ht="14.25" hidden="false" customHeight="false" outlineLevel="0" collapsed="false">
      <c r="A319" s="47" t="s">
        <v>147</v>
      </c>
      <c r="B319" s="47" t="n">
        <v>44551</v>
      </c>
      <c r="C319" s="47" t="s">
        <v>981</v>
      </c>
      <c r="D319" s="47" t="s">
        <v>982</v>
      </c>
      <c r="E319" s="47" t="s">
        <v>8</v>
      </c>
      <c r="F319" s="47" t="s">
        <v>367</v>
      </c>
      <c r="G319" s="97" t="s">
        <v>368</v>
      </c>
    </row>
    <row r="320" customFormat="false" ht="14.25" hidden="false" customHeight="false" outlineLevel="0" collapsed="false">
      <c r="A320" s="47" t="s">
        <v>137</v>
      </c>
      <c r="B320" s="47" t="n">
        <v>5</v>
      </c>
      <c r="C320" s="47" t="s">
        <v>983</v>
      </c>
      <c r="D320" s="47" t="s">
        <v>984</v>
      </c>
      <c r="E320" s="47" t="s">
        <v>8</v>
      </c>
      <c r="F320" s="47" t="s">
        <v>367</v>
      </c>
      <c r="G320" s="97" t="s">
        <v>368</v>
      </c>
    </row>
    <row r="321" customFormat="false" ht="14.25" hidden="false" customHeight="false" outlineLevel="0" collapsed="false">
      <c r="A321" s="47" t="s">
        <v>137</v>
      </c>
      <c r="B321" s="47" t="n">
        <v>5</v>
      </c>
      <c r="C321" s="47" t="s">
        <v>985</v>
      </c>
      <c r="D321" s="47" t="s">
        <v>986</v>
      </c>
      <c r="E321" s="47" t="s">
        <v>8</v>
      </c>
      <c r="F321" s="47" t="s">
        <v>374</v>
      </c>
      <c r="G321" s="97" t="s">
        <v>381</v>
      </c>
    </row>
    <row r="322" customFormat="false" ht="14.25" hidden="false" customHeight="false" outlineLevel="0" collapsed="false">
      <c r="A322" s="47" t="s">
        <v>137</v>
      </c>
      <c r="B322" s="47" t="n">
        <v>5</v>
      </c>
      <c r="C322" s="47" t="s">
        <v>987</v>
      </c>
      <c r="D322" s="47" t="s">
        <v>988</v>
      </c>
      <c r="E322" s="47" t="s">
        <v>8</v>
      </c>
      <c r="F322" s="47" t="s">
        <v>374</v>
      </c>
      <c r="G322" s="97" t="s">
        <v>381</v>
      </c>
    </row>
    <row r="323" customFormat="false" ht="14.25" hidden="false" customHeight="false" outlineLevel="0" collapsed="false">
      <c r="A323" s="47" t="s">
        <v>137</v>
      </c>
      <c r="B323" s="47" t="n">
        <v>5</v>
      </c>
      <c r="C323" s="47" t="s">
        <v>989</v>
      </c>
      <c r="D323" s="47" t="s">
        <v>990</v>
      </c>
      <c r="E323" s="47" t="s">
        <v>8</v>
      </c>
      <c r="F323" s="47" t="s">
        <v>367</v>
      </c>
      <c r="G323" s="97" t="s">
        <v>368</v>
      </c>
    </row>
    <row r="324" customFormat="false" ht="14.25" hidden="false" customHeight="false" outlineLevel="0" collapsed="false">
      <c r="A324" s="47" t="s">
        <v>137</v>
      </c>
      <c r="B324" s="47" t="n">
        <v>5</v>
      </c>
      <c r="C324" s="47" t="s">
        <v>991</v>
      </c>
      <c r="D324" s="47" t="s">
        <v>992</v>
      </c>
      <c r="E324" s="47" t="s">
        <v>8</v>
      </c>
      <c r="F324" s="47" t="s">
        <v>374</v>
      </c>
      <c r="G324" s="97" t="s">
        <v>392</v>
      </c>
    </row>
    <row r="325" customFormat="false" ht="14.25" hidden="false" customHeight="false" outlineLevel="0" collapsed="false">
      <c r="A325" s="47" t="s">
        <v>137</v>
      </c>
      <c r="B325" s="47" t="n">
        <v>5</v>
      </c>
      <c r="C325" s="47" t="s">
        <v>993</v>
      </c>
      <c r="D325" s="47" t="s">
        <v>419</v>
      </c>
      <c r="E325" s="47" t="s">
        <v>8</v>
      </c>
      <c r="F325" s="47" t="s">
        <v>367</v>
      </c>
      <c r="G325" s="97" t="s">
        <v>368</v>
      </c>
    </row>
    <row r="326" customFormat="false" ht="14.25" hidden="false" customHeight="false" outlineLevel="0" collapsed="false">
      <c r="A326" s="47" t="s">
        <v>137</v>
      </c>
      <c r="B326" s="47" t="n">
        <v>5</v>
      </c>
      <c r="C326" s="47" t="s">
        <v>994</v>
      </c>
      <c r="D326" s="47" t="s">
        <v>995</v>
      </c>
      <c r="E326" s="47" t="s">
        <v>8</v>
      </c>
      <c r="F326" s="47" t="s">
        <v>367</v>
      </c>
      <c r="G326" s="97" t="s">
        <v>368</v>
      </c>
    </row>
    <row r="327" customFormat="false" ht="14.25" hidden="false" customHeight="false" outlineLevel="0" collapsed="false">
      <c r="A327" s="47" t="s">
        <v>137</v>
      </c>
      <c r="B327" s="47" t="n">
        <v>5</v>
      </c>
      <c r="C327" s="47" t="s">
        <v>996</v>
      </c>
      <c r="D327" s="47" t="s">
        <v>997</v>
      </c>
      <c r="E327" s="47" t="s">
        <v>8</v>
      </c>
      <c r="F327" s="47" t="s">
        <v>367</v>
      </c>
      <c r="G327" s="97" t="s">
        <v>368</v>
      </c>
    </row>
    <row r="328" customFormat="false" ht="14.25" hidden="false" customHeight="false" outlineLevel="0" collapsed="false">
      <c r="A328" s="47" t="s">
        <v>137</v>
      </c>
      <c r="B328" s="47" t="n">
        <v>5</v>
      </c>
      <c r="C328" s="47" t="s">
        <v>998</v>
      </c>
      <c r="D328" s="47" t="s">
        <v>999</v>
      </c>
      <c r="E328" s="47" t="s">
        <v>8</v>
      </c>
      <c r="F328" s="47" t="s">
        <v>374</v>
      </c>
      <c r="G328" s="97" t="s">
        <v>392</v>
      </c>
    </row>
    <row r="329" customFormat="false" ht="14.25" hidden="false" customHeight="false" outlineLevel="0" collapsed="false">
      <c r="A329" s="47" t="s">
        <v>137</v>
      </c>
      <c r="B329" s="47" t="n">
        <v>5</v>
      </c>
      <c r="C329" s="47" t="s">
        <v>1000</v>
      </c>
      <c r="D329" s="47" t="s">
        <v>582</v>
      </c>
      <c r="E329" s="47" t="s">
        <v>8</v>
      </c>
      <c r="F329" s="47" t="s">
        <v>374</v>
      </c>
      <c r="G329" s="97" t="s">
        <v>392</v>
      </c>
    </row>
    <row r="330" customFormat="false" ht="14.25" hidden="false" customHeight="false" outlineLevel="0" collapsed="false">
      <c r="A330" s="47" t="s">
        <v>137</v>
      </c>
      <c r="B330" s="47" t="n">
        <v>5</v>
      </c>
      <c r="C330" s="47" t="s">
        <v>1001</v>
      </c>
      <c r="D330" s="47" t="s">
        <v>1002</v>
      </c>
      <c r="E330" s="47" t="s">
        <v>8</v>
      </c>
      <c r="F330" s="47" t="s">
        <v>374</v>
      </c>
      <c r="G330" s="97" t="s">
        <v>381</v>
      </c>
    </row>
    <row r="331" customFormat="false" ht="14.25" hidden="false" customHeight="false" outlineLevel="0" collapsed="false">
      <c r="A331" s="47" t="s">
        <v>137</v>
      </c>
      <c r="B331" s="47" t="n">
        <v>5</v>
      </c>
      <c r="C331" s="47" t="s">
        <v>1003</v>
      </c>
      <c r="D331" s="47" t="s">
        <v>456</v>
      </c>
      <c r="E331" s="47" t="s">
        <v>8</v>
      </c>
      <c r="F331" s="47" t="s">
        <v>367</v>
      </c>
      <c r="G331" s="97" t="s">
        <v>368</v>
      </c>
    </row>
    <row r="332" customFormat="false" ht="14.25" hidden="false" customHeight="false" outlineLevel="0" collapsed="false">
      <c r="A332" s="47" t="s">
        <v>137</v>
      </c>
      <c r="B332" s="47" t="n">
        <v>5</v>
      </c>
      <c r="C332" s="47" t="s">
        <v>1004</v>
      </c>
      <c r="D332" s="47" t="s">
        <v>1005</v>
      </c>
      <c r="E332" s="47" t="s">
        <v>8</v>
      </c>
      <c r="F332" s="47" t="s">
        <v>374</v>
      </c>
      <c r="G332" s="97" t="s">
        <v>371</v>
      </c>
    </row>
    <row r="333" customFormat="false" ht="14.25" hidden="false" customHeight="false" outlineLevel="0" collapsed="false">
      <c r="A333" s="47" t="s">
        <v>137</v>
      </c>
      <c r="B333" s="47" t="n">
        <v>5</v>
      </c>
      <c r="C333" s="47" t="s">
        <v>1006</v>
      </c>
      <c r="D333" s="47" t="s">
        <v>458</v>
      </c>
      <c r="E333" s="47" t="s">
        <v>8</v>
      </c>
      <c r="F333" s="47" t="s">
        <v>374</v>
      </c>
      <c r="G333" s="97" t="s">
        <v>381</v>
      </c>
    </row>
    <row r="334" customFormat="false" ht="14.25" hidden="false" customHeight="false" outlineLevel="0" collapsed="false">
      <c r="A334" s="47" t="s">
        <v>137</v>
      </c>
      <c r="B334" s="47" t="n">
        <v>5</v>
      </c>
      <c r="C334" s="47" t="s">
        <v>1007</v>
      </c>
      <c r="D334" s="47" t="s">
        <v>1008</v>
      </c>
      <c r="E334" s="47" t="s">
        <v>8</v>
      </c>
      <c r="F334" s="47" t="s">
        <v>367</v>
      </c>
      <c r="G334" s="97" t="s">
        <v>368</v>
      </c>
    </row>
    <row r="335" customFormat="false" ht="14.25" hidden="false" customHeight="false" outlineLevel="0" collapsed="false">
      <c r="A335" s="47" t="s">
        <v>137</v>
      </c>
      <c r="B335" s="47" t="n">
        <v>5</v>
      </c>
      <c r="C335" s="47" t="s">
        <v>1009</v>
      </c>
      <c r="D335" s="47" t="s">
        <v>1010</v>
      </c>
      <c r="E335" s="47" t="s">
        <v>8</v>
      </c>
      <c r="F335" s="47" t="s">
        <v>367</v>
      </c>
      <c r="G335" s="97" t="s">
        <v>368</v>
      </c>
    </row>
    <row r="336" customFormat="false" ht="14.25" hidden="false" customHeight="false" outlineLevel="0" collapsed="false">
      <c r="A336" s="47" t="s">
        <v>137</v>
      </c>
      <c r="B336" s="47" t="n">
        <v>5</v>
      </c>
      <c r="C336" s="47" t="s">
        <v>1011</v>
      </c>
      <c r="D336" s="47" t="s">
        <v>1012</v>
      </c>
      <c r="E336" s="47" t="s">
        <v>8</v>
      </c>
      <c r="F336" s="47" t="s">
        <v>367</v>
      </c>
      <c r="G336" s="97" t="s">
        <v>368</v>
      </c>
    </row>
    <row r="337" customFormat="false" ht="14.25" hidden="false" customHeight="false" outlineLevel="0" collapsed="false">
      <c r="A337" s="47" t="s">
        <v>137</v>
      </c>
      <c r="B337" s="47" t="n">
        <v>5</v>
      </c>
      <c r="C337" s="47" t="s">
        <v>1013</v>
      </c>
      <c r="D337" s="47" t="s">
        <v>1014</v>
      </c>
      <c r="E337" s="47" t="s">
        <v>8</v>
      </c>
      <c r="F337" s="47" t="s">
        <v>374</v>
      </c>
      <c r="G337" s="97" t="s">
        <v>371</v>
      </c>
    </row>
    <row r="338" customFormat="false" ht="14.25" hidden="false" customHeight="false" outlineLevel="0" collapsed="false">
      <c r="A338" s="47" t="s">
        <v>137</v>
      </c>
      <c r="B338" s="47" t="n">
        <v>5</v>
      </c>
      <c r="C338" s="47" t="s">
        <v>1015</v>
      </c>
      <c r="D338" s="47" t="s">
        <v>1016</v>
      </c>
      <c r="E338" s="47" t="s">
        <v>8</v>
      </c>
      <c r="F338" s="47" t="s">
        <v>374</v>
      </c>
      <c r="G338" s="97" t="s">
        <v>381</v>
      </c>
    </row>
    <row r="339" customFormat="false" ht="14.25" hidden="false" customHeight="false" outlineLevel="0" collapsed="false">
      <c r="A339" s="47" t="s">
        <v>137</v>
      </c>
      <c r="B339" s="47" t="n">
        <v>5</v>
      </c>
      <c r="C339" s="47" t="s">
        <v>1017</v>
      </c>
      <c r="D339" s="47" t="s">
        <v>1018</v>
      </c>
      <c r="E339" s="47" t="s">
        <v>8</v>
      </c>
      <c r="F339" s="47" t="s">
        <v>367</v>
      </c>
      <c r="G339" s="97" t="s">
        <v>368</v>
      </c>
    </row>
    <row r="340" customFormat="false" ht="14.25" hidden="false" customHeight="false" outlineLevel="0" collapsed="false">
      <c r="A340" s="47" t="s">
        <v>137</v>
      </c>
      <c r="B340" s="47" t="n">
        <v>5</v>
      </c>
      <c r="C340" s="47" t="s">
        <v>1019</v>
      </c>
      <c r="D340" s="47" t="s">
        <v>1020</v>
      </c>
      <c r="E340" s="47" t="s">
        <v>8</v>
      </c>
      <c r="F340" s="47" t="s">
        <v>367</v>
      </c>
      <c r="G340" s="97" t="s">
        <v>368</v>
      </c>
    </row>
    <row r="341" customFormat="false" ht="14.25" hidden="false" customHeight="false" outlineLevel="0" collapsed="false">
      <c r="A341" s="47" t="s">
        <v>137</v>
      </c>
      <c r="B341" s="47" t="n">
        <v>5</v>
      </c>
      <c r="C341" s="47" t="s">
        <v>1021</v>
      </c>
      <c r="D341" s="47" t="s">
        <v>1022</v>
      </c>
      <c r="E341" s="47" t="s">
        <v>8</v>
      </c>
      <c r="F341" s="47" t="s">
        <v>367</v>
      </c>
      <c r="G341" s="97" t="s">
        <v>368</v>
      </c>
    </row>
    <row r="342" customFormat="false" ht="14.25" hidden="false" customHeight="false" outlineLevel="0" collapsed="false">
      <c r="A342" s="47" t="s">
        <v>137</v>
      </c>
      <c r="B342" s="47" t="n">
        <v>5</v>
      </c>
      <c r="C342" s="47" t="s">
        <v>1023</v>
      </c>
      <c r="D342" s="47" t="s">
        <v>1024</v>
      </c>
      <c r="E342" s="47" t="s">
        <v>8</v>
      </c>
      <c r="F342" s="47" t="s">
        <v>367</v>
      </c>
      <c r="G342" s="97" t="s">
        <v>368</v>
      </c>
    </row>
    <row r="343" customFormat="false" ht="14.25" hidden="false" customHeight="false" outlineLevel="0" collapsed="false">
      <c r="A343" s="47" t="s">
        <v>137</v>
      </c>
      <c r="B343" s="47" t="n">
        <v>5</v>
      </c>
      <c r="C343" s="47" t="s">
        <v>1025</v>
      </c>
      <c r="D343" s="47" t="s">
        <v>1026</v>
      </c>
      <c r="E343" s="47" t="s">
        <v>8</v>
      </c>
      <c r="F343" s="47" t="s">
        <v>367</v>
      </c>
      <c r="G343" s="97" t="s">
        <v>368</v>
      </c>
    </row>
    <row r="344" customFormat="false" ht="14.25" hidden="false" customHeight="false" outlineLevel="0" collapsed="false">
      <c r="A344" s="47" t="s">
        <v>137</v>
      </c>
      <c r="B344" s="47" t="n">
        <v>5</v>
      </c>
      <c r="C344" s="47" t="s">
        <v>1027</v>
      </c>
      <c r="D344" s="47" t="s">
        <v>1028</v>
      </c>
      <c r="E344" s="47" t="s">
        <v>8</v>
      </c>
      <c r="F344" s="47" t="s">
        <v>374</v>
      </c>
      <c r="G344" s="97" t="s">
        <v>381</v>
      </c>
    </row>
    <row r="345" customFormat="false" ht="14.25" hidden="false" customHeight="false" outlineLevel="0" collapsed="false">
      <c r="A345" s="47" t="s">
        <v>137</v>
      </c>
      <c r="B345" s="47" t="n">
        <v>5</v>
      </c>
      <c r="C345" s="47" t="s">
        <v>1029</v>
      </c>
      <c r="D345" s="47" t="s">
        <v>1030</v>
      </c>
      <c r="E345" s="47" t="s">
        <v>8</v>
      </c>
      <c r="F345" s="47" t="s">
        <v>367</v>
      </c>
      <c r="G345" s="97" t="s">
        <v>368</v>
      </c>
    </row>
    <row r="346" customFormat="false" ht="14.25" hidden="false" customHeight="false" outlineLevel="0" collapsed="false">
      <c r="A346" s="47" t="s">
        <v>137</v>
      </c>
      <c r="B346" s="47" t="n">
        <v>5</v>
      </c>
      <c r="C346" s="47" t="s">
        <v>1031</v>
      </c>
      <c r="D346" s="47" t="s">
        <v>1032</v>
      </c>
      <c r="E346" s="47" t="s">
        <v>8</v>
      </c>
      <c r="F346" s="47" t="s">
        <v>367</v>
      </c>
      <c r="G346" s="97" t="s">
        <v>368</v>
      </c>
    </row>
    <row r="347" customFormat="false" ht="14.25" hidden="false" customHeight="false" outlineLevel="0" collapsed="false">
      <c r="A347" s="47" t="s">
        <v>137</v>
      </c>
      <c r="B347" s="47" t="n">
        <v>5</v>
      </c>
      <c r="C347" s="47" t="s">
        <v>1033</v>
      </c>
      <c r="D347" s="47" t="s">
        <v>1034</v>
      </c>
      <c r="E347" s="47" t="s">
        <v>8</v>
      </c>
      <c r="F347" s="47" t="s">
        <v>374</v>
      </c>
      <c r="G347" s="97" t="s">
        <v>392</v>
      </c>
    </row>
    <row r="348" customFormat="false" ht="14.25" hidden="false" customHeight="false" outlineLevel="0" collapsed="false">
      <c r="A348" s="47" t="s">
        <v>137</v>
      </c>
      <c r="B348" s="47" t="n">
        <v>5</v>
      </c>
      <c r="C348" s="47" t="s">
        <v>1035</v>
      </c>
      <c r="D348" s="47" t="s">
        <v>1036</v>
      </c>
      <c r="E348" s="47" t="s">
        <v>8</v>
      </c>
      <c r="F348" s="47" t="s">
        <v>367</v>
      </c>
      <c r="G348" s="97" t="s">
        <v>368</v>
      </c>
    </row>
    <row r="349" customFormat="false" ht="14.25" hidden="false" customHeight="false" outlineLevel="0" collapsed="false">
      <c r="A349" s="47" t="s">
        <v>137</v>
      </c>
      <c r="B349" s="47" t="n">
        <v>5</v>
      </c>
      <c r="C349" s="47" t="s">
        <v>1037</v>
      </c>
      <c r="D349" s="47" t="s">
        <v>1038</v>
      </c>
      <c r="E349" s="47" t="s">
        <v>8</v>
      </c>
      <c r="F349" s="47" t="s">
        <v>367</v>
      </c>
      <c r="G349" s="97" t="s">
        <v>368</v>
      </c>
    </row>
    <row r="350" customFormat="false" ht="14.25" hidden="false" customHeight="false" outlineLevel="0" collapsed="false">
      <c r="A350" s="47" t="s">
        <v>137</v>
      </c>
      <c r="B350" s="47" t="n">
        <v>5</v>
      </c>
      <c r="C350" s="47" t="s">
        <v>1039</v>
      </c>
      <c r="D350" s="47" t="s">
        <v>1040</v>
      </c>
      <c r="E350" s="47" t="s">
        <v>8</v>
      </c>
      <c r="F350" s="47" t="s">
        <v>374</v>
      </c>
      <c r="G350" s="97" t="s">
        <v>392</v>
      </c>
    </row>
    <row r="351" customFormat="false" ht="14.25" hidden="false" customHeight="false" outlineLevel="0" collapsed="false">
      <c r="A351" s="47" t="s">
        <v>137</v>
      </c>
      <c r="B351" s="47" t="n">
        <v>5</v>
      </c>
      <c r="C351" s="47" t="s">
        <v>1041</v>
      </c>
      <c r="D351" s="47" t="s">
        <v>1042</v>
      </c>
      <c r="E351" s="47" t="s">
        <v>8</v>
      </c>
      <c r="F351" s="47" t="s">
        <v>374</v>
      </c>
      <c r="G351" s="97" t="s">
        <v>381</v>
      </c>
    </row>
    <row r="352" customFormat="false" ht="14.25" hidden="false" customHeight="false" outlineLevel="0" collapsed="false">
      <c r="A352" s="47" t="s">
        <v>137</v>
      </c>
      <c r="B352" s="47" t="n">
        <v>5</v>
      </c>
      <c r="C352" s="47" t="s">
        <v>1043</v>
      </c>
      <c r="D352" s="47" t="s">
        <v>1044</v>
      </c>
      <c r="E352" s="47" t="s">
        <v>8</v>
      </c>
      <c r="F352" s="47" t="s">
        <v>367</v>
      </c>
      <c r="G352" s="97" t="s">
        <v>368</v>
      </c>
    </row>
    <row r="353" customFormat="false" ht="14.25" hidden="false" customHeight="false" outlineLevel="0" collapsed="false">
      <c r="A353" s="47" t="s">
        <v>137</v>
      </c>
      <c r="B353" s="47" t="n">
        <v>5</v>
      </c>
      <c r="C353" s="47" t="s">
        <v>1045</v>
      </c>
      <c r="D353" s="47" t="s">
        <v>1046</v>
      </c>
      <c r="E353" s="47" t="s">
        <v>8</v>
      </c>
      <c r="F353" s="47" t="s">
        <v>367</v>
      </c>
      <c r="G353" s="97" t="s">
        <v>368</v>
      </c>
    </row>
    <row r="354" customFormat="false" ht="14.25" hidden="false" customHeight="false" outlineLevel="0" collapsed="false">
      <c r="A354" s="47" t="s">
        <v>137</v>
      </c>
      <c r="B354" s="47" t="n">
        <v>5</v>
      </c>
      <c r="C354" s="47" t="s">
        <v>1047</v>
      </c>
      <c r="D354" s="47" t="s">
        <v>1048</v>
      </c>
      <c r="E354" s="47" t="s">
        <v>8</v>
      </c>
      <c r="F354" s="47" t="s">
        <v>374</v>
      </c>
      <c r="G354" s="97" t="s">
        <v>392</v>
      </c>
    </row>
    <row r="355" customFormat="false" ht="14.25" hidden="false" customHeight="false" outlineLevel="0" collapsed="false">
      <c r="A355" s="47" t="s">
        <v>137</v>
      </c>
      <c r="B355" s="47" t="n">
        <v>5</v>
      </c>
      <c r="C355" s="47" t="s">
        <v>1049</v>
      </c>
      <c r="D355" s="47" t="s">
        <v>1050</v>
      </c>
      <c r="E355" s="47" t="s">
        <v>8</v>
      </c>
      <c r="F355" s="47" t="s">
        <v>367</v>
      </c>
      <c r="G355" s="97" t="s">
        <v>368</v>
      </c>
    </row>
    <row r="356" customFormat="false" ht="14.25" hidden="false" customHeight="false" outlineLevel="0" collapsed="false">
      <c r="A356" s="47" t="s">
        <v>137</v>
      </c>
      <c r="B356" s="47" t="n">
        <v>5</v>
      </c>
      <c r="C356" s="47" t="s">
        <v>1051</v>
      </c>
      <c r="D356" s="47" t="s">
        <v>1052</v>
      </c>
      <c r="E356" s="47" t="s">
        <v>8</v>
      </c>
      <c r="F356" s="47" t="s">
        <v>367</v>
      </c>
      <c r="G356" s="97" t="s">
        <v>368</v>
      </c>
    </row>
    <row r="357" customFormat="false" ht="14.25" hidden="false" customHeight="false" outlineLevel="0" collapsed="false">
      <c r="A357" s="47" t="s">
        <v>137</v>
      </c>
      <c r="B357" s="47" t="n">
        <v>5</v>
      </c>
      <c r="C357" s="47" t="s">
        <v>1053</v>
      </c>
      <c r="D357" s="47" t="s">
        <v>1054</v>
      </c>
      <c r="E357" s="47" t="s">
        <v>8</v>
      </c>
      <c r="F357" s="47" t="s">
        <v>367</v>
      </c>
      <c r="G357" s="97" t="s">
        <v>368</v>
      </c>
    </row>
    <row r="358" customFormat="false" ht="14.25" hidden="false" customHeight="false" outlineLevel="0" collapsed="false">
      <c r="A358" s="47" t="s">
        <v>137</v>
      </c>
      <c r="B358" s="47" t="n">
        <v>5</v>
      </c>
      <c r="C358" s="47" t="s">
        <v>1055</v>
      </c>
      <c r="D358" s="47" t="s">
        <v>877</v>
      </c>
      <c r="E358" s="47" t="s">
        <v>8</v>
      </c>
      <c r="F358" s="47" t="s">
        <v>367</v>
      </c>
      <c r="G358" s="97" t="s">
        <v>368</v>
      </c>
    </row>
    <row r="359" customFormat="false" ht="14.25" hidden="false" customHeight="false" outlineLevel="0" collapsed="false">
      <c r="A359" s="47" t="s">
        <v>137</v>
      </c>
      <c r="B359" s="47" t="n">
        <v>5</v>
      </c>
      <c r="C359" s="47" t="s">
        <v>1056</v>
      </c>
      <c r="D359" s="47" t="s">
        <v>1057</v>
      </c>
      <c r="E359" s="47" t="s">
        <v>8</v>
      </c>
      <c r="F359" s="47" t="s">
        <v>374</v>
      </c>
      <c r="G359" s="97" t="s">
        <v>1058</v>
      </c>
    </row>
    <row r="360" customFormat="false" ht="14.25" hidden="false" customHeight="false" outlineLevel="0" collapsed="false">
      <c r="A360" s="47" t="s">
        <v>137</v>
      </c>
      <c r="B360" s="47" t="n">
        <v>5</v>
      </c>
      <c r="C360" s="47" t="s">
        <v>1059</v>
      </c>
      <c r="D360" s="47" t="s">
        <v>1060</v>
      </c>
      <c r="E360" s="47" t="s">
        <v>8</v>
      </c>
      <c r="F360" s="47" t="s">
        <v>367</v>
      </c>
      <c r="G360" s="97" t="s">
        <v>368</v>
      </c>
    </row>
    <row r="361" customFormat="false" ht="14.25" hidden="false" customHeight="false" outlineLevel="0" collapsed="false">
      <c r="A361" s="47" t="s">
        <v>137</v>
      </c>
      <c r="B361" s="47" t="n">
        <v>5</v>
      </c>
      <c r="C361" s="47" t="s">
        <v>1061</v>
      </c>
      <c r="D361" s="47" t="s">
        <v>1062</v>
      </c>
      <c r="E361" s="47" t="s">
        <v>8</v>
      </c>
      <c r="F361" s="47" t="s">
        <v>374</v>
      </c>
      <c r="G361" s="97" t="s">
        <v>381</v>
      </c>
    </row>
    <row r="362" customFormat="false" ht="14.25" hidden="false" customHeight="false" outlineLevel="0" collapsed="false">
      <c r="A362" s="47" t="s">
        <v>137</v>
      </c>
      <c r="B362" s="47" t="n">
        <v>5</v>
      </c>
      <c r="C362" s="47" t="s">
        <v>1063</v>
      </c>
      <c r="D362" s="47" t="s">
        <v>1064</v>
      </c>
      <c r="E362" s="47" t="s">
        <v>8</v>
      </c>
      <c r="F362" s="47" t="s">
        <v>367</v>
      </c>
      <c r="G362" s="97" t="s">
        <v>368</v>
      </c>
    </row>
    <row r="363" customFormat="false" ht="14.25" hidden="false" customHeight="false" outlineLevel="0" collapsed="false">
      <c r="A363" s="47" t="s">
        <v>137</v>
      </c>
      <c r="B363" s="47" t="n">
        <v>5</v>
      </c>
      <c r="C363" s="47" t="s">
        <v>1065</v>
      </c>
      <c r="D363" s="47" t="s">
        <v>927</v>
      </c>
      <c r="E363" s="47" t="s">
        <v>8</v>
      </c>
      <c r="F363" s="47" t="s">
        <v>367</v>
      </c>
      <c r="G363" s="97" t="s">
        <v>368</v>
      </c>
    </row>
    <row r="364" customFormat="false" ht="14.25" hidden="false" customHeight="false" outlineLevel="0" collapsed="false">
      <c r="A364" s="47" t="s">
        <v>137</v>
      </c>
      <c r="B364" s="47" t="n">
        <v>5</v>
      </c>
      <c r="C364" s="47" t="s">
        <v>1066</v>
      </c>
      <c r="D364" s="47" t="s">
        <v>1067</v>
      </c>
      <c r="E364" s="47" t="s">
        <v>8</v>
      </c>
      <c r="F364" s="47" t="s">
        <v>374</v>
      </c>
      <c r="G364" s="97" t="s">
        <v>381</v>
      </c>
    </row>
    <row r="365" customFormat="false" ht="14.25" hidden="false" customHeight="false" outlineLevel="0" collapsed="false">
      <c r="A365" s="47" t="s">
        <v>137</v>
      </c>
      <c r="B365" s="47" t="n">
        <v>5</v>
      </c>
      <c r="C365" s="47" t="s">
        <v>1068</v>
      </c>
      <c r="D365" s="47" t="s">
        <v>1069</v>
      </c>
      <c r="E365" s="47" t="s">
        <v>8</v>
      </c>
      <c r="F365" s="47" t="s">
        <v>374</v>
      </c>
      <c r="G365" s="97" t="s">
        <v>381</v>
      </c>
    </row>
    <row r="366" customFormat="false" ht="14.25" hidden="false" customHeight="false" outlineLevel="0" collapsed="false">
      <c r="A366" s="47" t="s">
        <v>137</v>
      </c>
      <c r="B366" s="47" t="n">
        <v>5</v>
      </c>
      <c r="C366" s="47" t="s">
        <v>1070</v>
      </c>
      <c r="D366" s="47" t="s">
        <v>1071</v>
      </c>
      <c r="E366" s="47" t="s">
        <v>8</v>
      </c>
      <c r="F366" s="47" t="s">
        <v>374</v>
      </c>
      <c r="G366" s="97" t="s">
        <v>381</v>
      </c>
    </row>
    <row r="367" customFormat="false" ht="14.25" hidden="false" customHeight="false" outlineLevel="0" collapsed="false">
      <c r="A367" s="47" t="s">
        <v>137</v>
      </c>
      <c r="B367" s="47" t="n">
        <v>5</v>
      </c>
      <c r="C367" s="47" t="s">
        <v>1072</v>
      </c>
      <c r="D367" s="47" t="s">
        <v>1073</v>
      </c>
      <c r="E367" s="47" t="s">
        <v>8</v>
      </c>
      <c r="F367" s="47" t="s">
        <v>367</v>
      </c>
      <c r="G367" s="97" t="s">
        <v>368</v>
      </c>
    </row>
    <row r="368" customFormat="false" ht="14.25" hidden="false" customHeight="false" outlineLevel="0" collapsed="false">
      <c r="A368" s="47" t="s">
        <v>137</v>
      </c>
      <c r="B368" s="47" t="n">
        <v>5</v>
      </c>
      <c r="C368" s="47" t="s">
        <v>1074</v>
      </c>
      <c r="D368" s="47" t="s">
        <v>1075</v>
      </c>
      <c r="E368" s="47" t="s">
        <v>8</v>
      </c>
      <c r="F368" s="47" t="s">
        <v>374</v>
      </c>
      <c r="G368" s="97" t="s">
        <v>381</v>
      </c>
    </row>
    <row r="369" customFormat="false" ht="14.25" hidden="false" customHeight="false" outlineLevel="0" collapsed="false">
      <c r="A369" s="47" t="s">
        <v>137</v>
      </c>
      <c r="B369" s="47" t="n">
        <v>5</v>
      </c>
      <c r="C369" s="47" t="s">
        <v>1076</v>
      </c>
      <c r="D369" s="47" t="s">
        <v>1077</v>
      </c>
      <c r="E369" s="47" t="s">
        <v>8</v>
      </c>
      <c r="F369" s="47" t="s">
        <v>367</v>
      </c>
      <c r="G369" s="97" t="s">
        <v>368</v>
      </c>
    </row>
    <row r="370" customFormat="false" ht="14.25" hidden="false" customHeight="false" outlineLevel="0" collapsed="false">
      <c r="A370" s="47" t="s">
        <v>137</v>
      </c>
      <c r="B370" s="47" t="n">
        <v>5</v>
      </c>
      <c r="C370" s="47" t="s">
        <v>1078</v>
      </c>
      <c r="D370" s="47" t="s">
        <v>1079</v>
      </c>
      <c r="E370" s="47" t="s">
        <v>8</v>
      </c>
      <c r="F370" s="47" t="s">
        <v>367</v>
      </c>
      <c r="G370" s="97" t="s">
        <v>368</v>
      </c>
    </row>
    <row r="371" customFormat="false" ht="14.25" hidden="false" customHeight="false" outlineLevel="0" collapsed="false">
      <c r="A371" s="47" t="s">
        <v>137</v>
      </c>
      <c r="B371" s="47" t="n">
        <v>5</v>
      </c>
      <c r="C371" s="47" t="s">
        <v>1080</v>
      </c>
      <c r="D371" s="47" t="s">
        <v>1081</v>
      </c>
      <c r="E371" s="47" t="s">
        <v>8</v>
      </c>
      <c r="F371" s="47" t="s">
        <v>367</v>
      </c>
      <c r="G371" s="97" t="s">
        <v>368</v>
      </c>
    </row>
    <row r="372" customFormat="false" ht="14.25" hidden="false" customHeight="false" outlineLevel="0" collapsed="false">
      <c r="A372" s="47" t="s">
        <v>137</v>
      </c>
      <c r="B372" s="47" t="n">
        <v>5</v>
      </c>
      <c r="C372" s="47" t="s">
        <v>1082</v>
      </c>
      <c r="D372" s="47" t="s">
        <v>1083</v>
      </c>
      <c r="E372" s="47" t="s">
        <v>8</v>
      </c>
      <c r="F372" s="47" t="s">
        <v>367</v>
      </c>
      <c r="G372" s="97" t="s">
        <v>368</v>
      </c>
    </row>
    <row r="373" customFormat="false" ht="14.25" hidden="false" customHeight="false" outlineLevel="0" collapsed="false">
      <c r="A373" s="47" t="s">
        <v>137</v>
      </c>
      <c r="B373" s="47" t="n">
        <v>5</v>
      </c>
      <c r="C373" s="47" t="s">
        <v>1084</v>
      </c>
      <c r="D373" s="47" t="s">
        <v>1085</v>
      </c>
      <c r="E373" s="47" t="s">
        <v>8</v>
      </c>
      <c r="F373" s="47" t="s">
        <v>367</v>
      </c>
      <c r="G373" s="97" t="s">
        <v>368</v>
      </c>
    </row>
    <row r="374" customFormat="false" ht="14.25" hidden="false" customHeight="false" outlineLevel="0" collapsed="false">
      <c r="A374" s="47" t="s">
        <v>137</v>
      </c>
      <c r="B374" s="47" t="n">
        <v>5</v>
      </c>
      <c r="C374" s="47" t="s">
        <v>1086</v>
      </c>
      <c r="D374" s="47" t="s">
        <v>1087</v>
      </c>
      <c r="E374" s="47" t="s">
        <v>8</v>
      </c>
      <c r="F374" s="47" t="s">
        <v>374</v>
      </c>
      <c r="G374" s="97" t="s">
        <v>381</v>
      </c>
    </row>
    <row r="375" customFormat="false" ht="14.25" hidden="false" customHeight="false" outlineLevel="0" collapsed="false">
      <c r="A375" s="47" t="s">
        <v>137</v>
      </c>
      <c r="B375" s="47" t="n">
        <v>5</v>
      </c>
      <c r="C375" s="47" t="s">
        <v>1088</v>
      </c>
      <c r="D375" s="47" t="s">
        <v>1089</v>
      </c>
      <c r="E375" s="47" t="s">
        <v>8</v>
      </c>
      <c r="F375" s="47" t="s">
        <v>374</v>
      </c>
      <c r="G375" s="97" t="s">
        <v>381</v>
      </c>
    </row>
    <row r="376" customFormat="false" ht="14.25" hidden="false" customHeight="false" outlineLevel="0" collapsed="false">
      <c r="A376" s="47" t="s">
        <v>137</v>
      </c>
      <c r="B376" s="47" t="n">
        <v>5</v>
      </c>
      <c r="C376" s="47" t="s">
        <v>1090</v>
      </c>
      <c r="D376" s="47" t="s">
        <v>1091</v>
      </c>
      <c r="E376" s="47" t="s">
        <v>8</v>
      </c>
      <c r="F376" s="47" t="s">
        <v>367</v>
      </c>
      <c r="G376" s="97" t="s">
        <v>368</v>
      </c>
    </row>
    <row r="377" customFormat="false" ht="14.25" hidden="false" customHeight="false" outlineLevel="0" collapsed="false">
      <c r="A377" s="47" t="s">
        <v>137</v>
      </c>
      <c r="B377" s="47" t="n">
        <v>5</v>
      </c>
      <c r="C377" s="47" t="s">
        <v>1092</v>
      </c>
      <c r="D377" s="47" t="s">
        <v>1093</v>
      </c>
      <c r="E377" s="47" t="s">
        <v>8</v>
      </c>
      <c r="F377" s="47" t="s">
        <v>374</v>
      </c>
      <c r="G377" s="97" t="s">
        <v>392</v>
      </c>
    </row>
    <row r="378" customFormat="false" ht="14.25" hidden="false" customHeight="false" outlineLevel="0" collapsed="false">
      <c r="A378" s="47" t="s">
        <v>137</v>
      </c>
      <c r="B378" s="47" t="n">
        <v>5</v>
      </c>
      <c r="C378" s="47" t="s">
        <v>1094</v>
      </c>
      <c r="D378" s="47" t="s">
        <v>1095</v>
      </c>
      <c r="E378" s="47" t="s">
        <v>8</v>
      </c>
      <c r="F378" s="47" t="s">
        <v>367</v>
      </c>
      <c r="G378" s="97" t="s">
        <v>368</v>
      </c>
    </row>
    <row r="379" customFormat="false" ht="14.25" hidden="false" customHeight="false" outlineLevel="0" collapsed="false">
      <c r="A379" s="47" t="s">
        <v>137</v>
      </c>
      <c r="B379" s="47" t="n">
        <v>5</v>
      </c>
      <c r="C379" s="47" t="s">
        <v>1096</v>
      </c>
      <c r="D379" s="47" t="s">
        <v>1097</v>
      </c>
      <c r="E379" s="47" t="s">
        <v>8</v>
      </c>
      <c r="F379" s="47" t="s">
        <v>367</v>
      </c>
      <c r="G379" s="97" t="s">
        <v>368</v>
      </c>
    </row>
    <row r="380" customFormat="false" ht="14.25" hidden="false" customHeight="false" outlineLevel="0" collapsed="false">
      <c r="A380" s="47" t="s">
        <v>137</v>
      </c>
      <c r="B380" s="47" t="n">
        <v>5</v>
      </c>
      <c r="C380" s="47" t="s">
        <v>1098</v>
      </c>
      <c r="D380" s="47" t="s">
        <v>1099</v>
      </c>
      <c r="E380" s="47" t="s">
        <v>8</v>
      </c>
      <c r="F380" s="47" t="s">
        <v>367</v>
      </c>
      <c r="G380" s="97" t="s">
        <v>368</v>
      </c>
    </row>
    <row r="381" customFormat="false" ht="14.25" hidden="false" customHeight="false" outlineLevel="0" collapsed="false">
      <c r="A381" s="47" t="s">
        <v>137</v>
      </c>
      <c r="B381" s="47" t="n">
        <v>5</v>
      </c>
      <c r="C381" s="47" t="s">
        <v>1100</v>
      </c>
      <c r="D381" s="47" t="s">
        <v>1101</v>
      </c>
      <c r="E381" s="47" t="s">
        <v>8</v>
      </c>
      <c r="F381" s="47" t="s">
        <v>367</v>
      </c>
      <c r="G381" s="97" t="s">
        <v>368</v>
      </c>
    </row>
    <row r="382" customFormat="false" ht="14.25" hidden="false" customHeight="false" outlineLevel="0" collapsed="false">
      <c r="A382" s="47" t="s">
        <v>137</v>
      </c>
      <c r="B382" s="47" t="n">
        <v>5</v>
      </c>
      <c r="C382" s="47" t="s">
        <v>1102</v>
      </c>
      <c r="D382" s="47" t="s">
        <v>1103</v>
      </c>
      <c r="E382" s="47" t="s">
        <v>8</v>
      </c>
      <c r="F382" s="47" t="s">
        <v>367</v>
      </c>
      <c r="G382" s="97" t="s">
        <v>368</v>
      </c>
    </row>
    <row r="383" customFormat="false" ht="14.25" hidden="false" customHeight="false" outlineLevel="0" collapsed="false">
      <c r="A383" s="47" t="s">
        <v>137</v>
      </c>
      <c r="B383" s="47" t="n">
        <v>5</v>
      </c>
      <c r="C383" s="47" t="s">
        <v>1104</v>
      </c>
      <c r="D383" s="47" t="s">
        <v>1105</v>
      </c>
      <c r="E383" s="47" t="s">
        <v>8</v>
      </c>
      <c r="F383" s="47" t="s">
        <v>367</v>
      </c>
      <c r="G383" s="97" t="s">
        <v>368</v>
      </c>
    </row>
    <row r="384" customFormat="false" ht="14.25" hidden="false" customHeight="false" outlineLevel="0" collapsed="false">
      <c r="A384" s="47" t="s">
        <v>137</v>
      </c>
      <c r="B384" s="47" t="n">
        <v>5</v>
      </c>
      <c r="C384" s="47" t="s">
        <v>1106</v>
      </c>
      <c r="D384" s="47" t="s">
        <v>1107</v>
      </c>
      <c r="E384" s="47" t="s">
        <v>8</v>
      </c>
      <c r="F384" s="47" t="s">
        <v>367</v>
      </c>
      <c r="G384" s="97" t="s">
        <v>368</v>
      </c>
    </row>
    <row r="385" customFormat="false" ht="14.25" hidden="false" customHeight="false" outlineLevel="0" collapsed="false">
      <c r="A385" s="47" t="s">
        <v>137</v>
      </c>
      <c r="B385" s="47" t="n">
        <v>5</v>
      </c>
      <c r="C385" s="47" t="s">
        <v>1108</v>
      </c>
      <c r="D385" s="47" t="s">
        <v>1109</v>
      </c>
      <c r="E385" s="47" t="s">
        <v>8</v>
      </c>
      <c r="F385" s="47" t="s">
        <v>367</v>
      </c>
      <c r="G385" s="97" t="s">
        <v>368</v>
      </c>
    </row>
    <row r="386" customFormat="false" ht="14.25" hidden="false" customHeight="false" outlineLevel="0" collapsed="false">
      <c r="A386" s="47" t="s">
        <v>137</v>
      </c>
      <c r="B386" s="47" t="n">
        <v>5</v>
      </c>
      <c r="C386" s="47" t="s">
        <v>1110</v>
      </c>
      <c r="D386" s="47" t="s">
        <v>1111</v>
      </c>
      <c r="E386" s="47" t="s">
        <v>8</v>
      </c>
      <c r="F386" s="47" t="s">
        <v>367</v>
      </c>
      <c r="G386" s="97" t="s">
        <v>368</v>
      </c>
    </row>
    <row r="387" customFormat="false" ht="14.25" hidden="false" customHeight="false" outlineLevel="0" collapsed="false">
      <c r="A387" s="47" t="s">
        <v>137</v>
      </c>
      <c r="B387" s="47" t="n">
        <v>5</v>
      </c>
      <c r="C387" s="47" t="s">
        <v>1112</v>
      </c>
      <c r="D387" s="47" t="s">
        <v>1113</v>
      </c>
      <c r="E387" s="47" t="s">
        <v>8</v>
      </c>
      <c r="F387" s="47" t="s">
        <v>367</v>
      </c>
      <c r="G387" s="97" t="s">
        <v>368</v>
      </c>
    </row>
    <row r="388" customFormat="false" ht="14.25" hidden="false" customHeight="false" outlineLevel="0" collapsed="false">
      <c r="A388" s="47" t="s">
        <v>137</v>
      </c>
      <c r="B388" s="47" t="n">
        <v>5</v>
      </c>
      <c r="C388" s="47" t="s">
        <v>1114</v>
      </c>
      <c r="D388" s="47" t="s">
        <v>1115</v>
      </c>
      <c r="E388" s="47" t="s">
        <v>8</v>
      </c>
      <c r="F388" s="47" t="s">
        <v>374</v>
      </c>
      <c r="G388" s="97" t="s">
        <v>392</v>
      </c>
    </row>
    <row r="389" customFormat="false" ht="14.25" hidden="false" customHeight="false" outlineLevel="0" collapsed="false">
      <c r="A389" s="47" t="s">
        <v>137</v>
      </c>
      <c r="B389" s="47" t="n">
        <v>5</v>
      </c>
      <c r="C389" s="47" t="s">
        <v>1116</v>
      </c>
      <c r="D389" s="47" t="s">
        <v>1117</v>
      </c>
      <c r="E389" s="47" t="s">
        <v>8</v>
      </c>
      <c r="F389" s="47" t="s">
        <v>367</v>
      </c>
      <c r="G389" s="97" t="s">
        <v>368</v>
      </c>
    </row>
    <row r="390" customFormat="false" ht="14.25" hidden="false" customHeight="false" outlineLevel="0" collapsed="false">
      <c r="A390" s="47" t="s">
        <v>137</v>
      </c>
      <c r="B390" s="47" t="n">
        <v>5</v>
      </c>
      <c r="C390" s="47" t="s">
        <v>1118</v>
      </c>
      <c r="D390" s="47" t="s">
        <v>1119</v>
      </c>
      <c r="E390" s="47" t="s">
        <v>8</v>
      </c>
      <c r="F390" s="47" t="s">
        <v>367</v>
      </c>
      <c r="G390" s="97" t="s">
        <v>368</v>
      </c>
    </row>
    <row r="391" customFormat="false" ht="14.25" hidden="false" customHeight="false" outlineLevel="0" collapsed="false">
      <c r="A391" s="47" t="s">
        <v>137</v>
      </c>
      <c r="B391" s="47" t="n">
        <v>5</v>
      </c>
      <c r="C391" s="47" t="s">
        <v>1120</v>
      </c>
      <c r="D391" s="47" t="s">
        <v>1121</v>
      </c>
      <c r="E391" s="47" t="s">
        <v>8</v>
      </c>
      <c r="F391" s="47" t="s">
        <v>367</v>
      </c>
      <c r="G391" s="97" t="s">
        <v>368</v>
      </c>
    </row>
    <row r="392" customFormat="false" ht="14.25" hidden="false" customHeight="false" outlineLevel="0" collapsed="false">
      <c r="A392" s="47" t="s">
        <v>137</v>
      </c>
      <c r="B392" s="47" t="n">
        <v>5</v>
      </c>
      <c r="C392" s="47" t="s">
        <v>1122</v>
      </c>
      <c r="D392" s="47" t="s">
        <v>1123</v>
      </c>
      <c r="E392" s="47" t="s">
        <v>8</v>
      </c>
      <c r="F392" s="47" t="s">
        <v>367</v>
      </c>
      <c r="G392" s="97" t="s">
        <v>368</v>
      </c>
    </row>
    <row r="393" customFormat="false" ht="14.25" hidden="false" customHeight="false" outlineLevel="0" collapsed="false">
      <c r="A393" s="47" t="s">
        <v>137</v>
      </c>
      <c r="B393" s="47" t="n">
        <v>5</v>
      </c>
      <c r="C393" s="47" t="s">
        <v>1124</v>
      </c>
      <c r="D393" s="47" t="s">
        <v>1113</v>
      </c>
      <c r="E393" s="47" t="s">
        <v>8</v>
      </c>
      <c r="F393" s="47" t="s">
        <v>367</v>
      </c>
      <c r="G393" s="97" t="s">
        <v>368</v>
      </c>
    </row>
    <row r="394" customFormat="false" ht="14.25" hidden="false" customHeight="false" outlineLevel="0" collapsed="false">
      <c r="A394" s="47" t="s">
        <v>137</v>
      </c>
      <c r="B394" s="47" t="n">
        <v>5</v>
      </c>
      <c r="C394" s="47" t="s">
        <v>1125</v>
      </c>
      <c r="D394" s="47" t="s">
        <v>1126</v>
      </c>
      <c r="E394" s="47" t="s">
        <v>8</v>
      </c>
      <c r="F394" s="47" t="s">
        <v>367</v>
      </c>
      <c r="G394" s="97" t="s">
        <v>368</v>
      </c>
    </row>
    <row r="395" customFormat="false" ht="14.25" hidden="false" customHeight="false" outlineLevel="0" collapsed="false">
      <c r="A395" s="47" t="s">
        <v>137</v>
      </c>
      <c r="B395" s="47" t="n">
        <v>5</v>
      </c>
      <c r="C395" s="47" t="s">
        <v>1127</v>
      </c>
      <c r="D395" s="47" t="s">
        <v>1128</v>
      </c>
      <c r="E395" s="47" t="s">
        <v>8</v>
      </c>
      <c r="F395" s="47" t="s">
        <v>367</v>
      </c>
      <c r="G395" s="97" t="s">
        <v>368</v>
      </c>
    </row>
    <row r="396" customFormat="false" ht="14.25" hidden="false" customHeight="false" outlineLevel="0" collapsed="false">
      <c r="A396" s="47" t="s">
        <v>137</v>
      </c>
      <c r="B396" s="47" t="n">
        <v>5</v>
      </c>
      <c r="C396" s="47" t="s">
        <v>1129</v>
      </c>
      <c r="D396" s="47" t="s">
        <v>1130</v>
      </c>
      <c r="E396" s="47" t="s">
        <v>8</v>
      </c>
      <c r="F396" s="47" t="s">
        <v>367</v>
      </c>
      <c r="G396" s="97" t="s">
        <v>368</v>
      </c>
    </row>
    <row r="397" customFormat="false" ht="14.25" hidden="false" customHeight="false" outlineLevel="0" collapsed="false">
      <c r="A397" s="47" t="s">
        <v>137</v>
      </c>
      <c r="B397" s="47" t="n">
        <v>5</v>
      </c>
      <c r="C397" s="47" t="s">
        <v>1131</v>
      </c>
      <c r="D397" s="47" t="s">
        <v>655</v>
      </c>
      <c r="E397" s="47" t="s">
        <v>8</v>
      </c>
      <c r="F397" s="47" t="s">
        <v>367</v>
      </c>
      <c r="G397" s="97" t="s">
        <v>368</v>
      </c>
    </row>
    <row r="398" customFormat="false" ht="14.25" hidden="false" customHeight="false" outlineLevel="0" collapsed="false">
      <c r="A398" s="47" t="s">
        <v>137</v>
      </c>
      <c r="B398" s="47" t="n">
        <v>5</v>
      </c>
      <c r="C398" s="47" t="s">
        <v>1132</v>
      </c>
      <c r="D398" s="47" t="s">
        <v>1133</v>
      </c>
      <c r="E398" s="47" t="s">
        <v>8</v>
      </c>
      <c r="F398" s="47" t="s">
        <v>367</v>
      </c>
      <c r="G398" s="97" t="s">
        <v>368</v>
      </c>
    </row>
    <row r="399" customFormat="false" ht="14.25" hidden="false" customHeight="false" outlineLevel="0" collapsed="false">
      <c r="A399" s="47" t="s">
        <v>137</v>
      </c>
      <c r="B399" s="47" t="n">
        <v>5</v>
      </c>
      <c r="C399" s="47" t="s">
        <v>1134</v>
      </c>
      <c r="D399" s="47" t="s">
        <v>1135</v>
      </c>
      <c r="E399" s="47" t="s">
        <v>8</v>
      </c>
      <c r="F399" s="47" t="s">
        <v>367</v>
      </c>
      <c r="G399" s="97" t="s">
        <v>368</v>
      </c>
    </row>
    <row r="400" customFormat="false" ht="14.25" hidden="false" customHeight="false" outlineLevel="0" collapsed="false">
      <c r="A400" s="47" t="s">
        <v>137</v>
      </c>
      <c r="B400" s="47" t="n">
        <v>5</v>
      </c>
      <c r="C400" s="47" t="s">
        <v>1136</v>
      </c>
      <c r="D400" s="47" t="s">
        <v>1137</v>
      </c>
      <c r="E400" s="47" t="s">
        <v>8</v>
      </c>
      <c r="F400" s="47" t="s">
        <v>367</v>
      </c>
      <c r="G400" s="97" t="s">
        <v>368</v>
      </c>
    </row>
    <row r="401" customFormat="false" ht="14.25" hidden="false" customHeight="false" outlineLevel="0" collapsed="false">
      <c r="A401" s="47" t="s">
        <v>1138</v>
      </c>
      <c r="B401" s="47" t="n">
        <v>44571</v>
      </c>
      <c r="C401" s="47" t="s">
        <v>1139</v>
      </c>
      <c r="D401" s="47" t="s">
        <v>1140</v>
      </c>
      <c r="E401" s="47" t="s">
        <v>8</v>
      </c>
      <c r="F401" s="47" t="s">
        <v>374</v>
      </c>
      <c r="G401" s="97" t="s">
        <v>368</v>
      </c>
    </row>
    <row r="402" customFormat="false" ht="14.25" hidden="false" customHeight="false" outlineLevel="0" collapsed="false">
      <c r="A402" s="47" t="s">
        <v>1138</v>
      </c>
      <c r="B402" s="47" t="n">
        <v>44571</v>
      </c>
      <c r="C402" s="47" t="s">
        <v>1141</v>
      </c>
      <c r="D402" s="47" t="s">
        <v>1142</v>
      </c>
      <c r="E402" s="47" t="s">
        <v>8</v>
      </c>
      <c r="F402" s="47" t="s">
        <v>374</v>
      </c>
      <c r="G402" s="97" t="s">
        <v>368</v>
      </c>
    </row>
    <row r="403" customFormat="false" ht="14.25" hidden="false" customHeight="false" outlineLevel="0" collapsed="false">
      <c r="A403" s="47" t="s">
        <v>1138</v>
      </c>
      <c r="B403" s="47" t="n">
        <v>44571</v>
      </c>
      <c r="C403" s="47" t="s">
        <v>1143</v>
      </c>
      <c r="D403" s="47" t="s">
        <v>1144</v>
      </c>
      <c r="E403" s="47" t="s">
        <v>8</v>
      </c>
      <c r="F403" s="47" t="s">
        <v>374</v>
      </c>
      <c r="G403" s="97" t="s">
        <v>368</v>
      </c>
    </row>
    <row r="404" customFormat="false" ht="14.25" hidden="false" customHeight="false" outlineLevel="0" collapsed="false">
      <c r="A404" s="47" t="s">
        <v>1138</v>
      </c>
      <c r="B404" s="47" t="n">
        <v>44571</v>
      </c>
      <c r="C404" s="47" t="s">
        <v>1145</v>
      </c>
      <c r="D404" s="47" t="s">
        <v>456</v>
      </c>
      <c r="E404" s="47" t="s">
        <v>8</v>
      </c>
      <c r="F404" s="47" t="s">
        <v>367</v>
      </c>
      <c r="G404" s="97" t="s">
        <v>368</v>
      </c>
    </row>
    <row r="405" customFormat="false" ht="14.25" hidden="false" customHeight="false" outlineLevel="0" collapsed="false">
      <c r="A405" s="47" t="s">
        <v>1138</v>
      </c>
      <c r="B405" s="47" t="n">
        <v>44571</v>
      </c>
      <c r="C405" s="47" t="s">
        <v>1146</v>
      </c>
      <c r="D405" s="47" t="s">
        <v>1147</v>
      </c>
      <c r="E405" s="47" t="s">
        <v>8</v>
      </c>
      <c r="F405" s="47" t="s">
        <v>374</v>
      </c>
      <c r="G405" s="97" t="s">
        <v>368</v>
      </c>
    </row>
    <row r="406" customFormat="false" ht="14.25" hidden="false" customHeight="false" outlineLevel="0" collapsed="false">
      <c r="A406" s="47" t="s">
        <v>1138</v>
      </c>
      <c r="B406" s="47" t="n">
        <v>44571</v>
      </c>
      <c r="C406" s="47" t="s">
        <v>1148</v>
      </c>
      <c r="D406" s="47" t="s">
        <v>582</v>
      </c>
      <c r="E406" s="47" t="s">
        <v>8</v>
      </c>
      <c r="F406" s="47" t="s">
        <v>367</v>
      </c>
      <c r="G406" s="97" t="s">
        <v>368</v>
      </c>
    </row>
    <row r="407" customFormat="false" ht="14.25" hidden="false" customHeight="false" outlineLevel="0" collapsed="false">
      <c r="A407" s="47" t="s">
        <v>1138</v>
      </c>
      <c r="B407" s="47" t="n">
        <v>44571</v>
      </c>
      <c r="C407" s="47" t="s">
        <v>1149</v>
      </c>
      <c r="D407" s="47" t="s">
        <v>1150</v>
      </c>
      <c r="E407" s="47" t="s">
        <v>8</v>
      </c>
      <c r="F407" s="47" t="s">
        <v>367</v>
      </c>
      <c r="G407" s="97" t="s">
        <v>368</v>
      </c>
    </row>
    <row r="408" customFormat="false" ht="14.25" hidden="false" customHeight="false" outlineLevel="0" collapsed="false">
      <c r="A408" s="47" t="s">
        <v>1138</v>
      </c>
      <c r="B408" s="47" t="n">
        <v>44571</v>
      </c>
      <c r="C408" s="47" t="s">
        <v>1151</v>
      </c>
      <c r="D408" s="47" t="s">
        <v>1152</v>
      </c>
      <c r="E408" s="47" t="s">
        <v>8</v>
      </c>
      <c r="F408" s="47" t="s">
        <v>374</v>
      </c>
      <c r="G408" s="97" t="s">
        <v>368</v>
      </c>
    </row>
    <row r="409" customFormat="false" ht="14.25" hidden="false" customHeight="false" outlineLevel="0" collapsed="false">
      <c r="A409" s="47" t="s">
        <v>1138</v>
      </c>
      <c r="B409" s="47" t="n">
        <v>44571</v>
      </c>
      <c r="C409" s="47" t="s">
        <v>1153</v>
      </c>
      <c r="D409" s="47" t="s">
        <v>1154</v>
      </c>
      <c r="E409" s="47" t="s">
        <v>8</v>
      </c>
      <c r="F409" s="47" t="s">
        <v>374</v>
      </c>
      <c r="G409" s="97" t="s">
        <v>368</v>
      </c>
    </row>
    <row r="410" customFormat="false" ht="14.25" hidden="false" customHeight="false" outlineLevel="0" collapsed="false">
      <c r="A410" s="47" t="s">
        <v>252</v>
      </c>
      <c r="B410" s="47" t="n">
        <v>35691</v>
      </c>
      <c r="C410" s="47" t="s">
        <v>1155</v>
      </c>
      <c r="D410" s="47" t="s">
        <v>1156</v>
      </c>
      <c r="E410" s="47" t="s">
        <v>8</v>
      </c>
      <c r="F410" s="47" t="s">
        <v>367</v>
      </c>
      <c r="G410" s="97" t="s">
        <v>368</v>
      </c>
    </row>
    <row r="411" customFormat="false" ht="14.25" hidden="false" customHeight="false" outlineLevel="0" collapsed="false">
      <c r="A411" s="47" t="s">
        <v>252</v>
      </c>
      <c r="B411" s="47" t="n">
        <v>35691</v>
      </c>
      <c r="C411" s="47" t="s">
        <v>1157</v>
      </c>
      <c r="D411" s="47" t="s">
        <v>927</v>
      </c>
      <c r="E411" s="47" t="s">
        <v>8</v>
      </c>
      <c r="F411" s="47" t="s">
        <v>367</v>
      </c>
      <c r="G411" s="97" t="s">
        <v>368</v>
      </c>
    </row>
    <row r="412" customFormat="false" ht="14.25" hidden="false" customHeight="false" outlineLevel="0" collapsed="false">
      <c r="A412" s="47" t="s">
        <v>252</v>
      </c>
      <c r="B412" s="47" t="n">
        <v>35691</v>
      </c>
      <c r="C412" s="47" t="s">
        <v>1158</v>
      </c>
      <c r="D412" s="47" t="s">
        <v>1159</v>
      </c>
      <c r="E412" s="47" t="s">
        <v>8</v>
      </c>
      <c r="F412" s="47" t="s">
        <v>367</v>
      </c>
      <c r="G412" s="97" t="s">
        <v>368</v>
      </c>
    </row>
    <row r="413" customFormat="false" ht="14.25" hidden="false" customHeight="false" outlineLevel="0" collapsed="false">
      <c r="A413" s="47" t="s">
        <v>252</v>
      </c>
      <c r="B413" s="47" t="n">
        <v>35691</v>
      </c>
      <c r="C413" s="47" t="s">
        <v>289</v>
      </c>
      <c r="D413" s="47" t="s">
        <v>1160</v>
      </c>
      <c r="E413" s="47" t="s">
        <v>8</v>
      </c>
      <c r="F413" s="47" t="s">
        <v>374</v>
      </c>
      <c r="G413" s="97" t="s">
        <v>392</v>
      </c>
    </row>
    <row r="414" customFormat="false" ht="14.25" hidden="false" customHeight="false" outlineLevel="0" collapsed="false">
      <c r="A414" s="47" t="s">
        <v>252</v>
      </c>
      <c r="B414" s="47" t="n">
        <v>35691</v>
      </c>
      <c r="C414" s="47" t="s">
        <v>1161</v>
      </c>
      <c r="D414" s="47" t="s">
        <v>1162</v>
      </c>
      <c r="E414" s="47" t="s">
        <v>8</v>
      </c>
      <c r="F414" s="47" t="s">
        <v>367</v>
      </c>
      <c r="G414" s="97" t="s">
        <v>368</v>
      </c>
    </row>
    <row r="415" customFormat="false" ht="14.25" hidden="false" customHeight="false" outlineLevel="0" collapsed="false">
      <c r="A415" s="47" t="s">
        <v>252</v>
      </c>
      <c r="B415" s="47" t="n">
        <v>35691</v>
      </c>
      <c r="C415" s="47" t="s">
        <v>1163</v>
      </c>
      <c r="D415" s="47" t="s">
        <v>456</v>
      </c>
      <c r="E415" s="47" t="s">
        <v>8</v>
      </c>
      <c r="F415" s="47" t="s">
        <v>374</v>
      </c>
      <c r="G415" s="97" t="s">
        <v>392</v>
      </c>
    </row>
    <row r="416" customFormat="false" ht="14.25" hidden="false" customHeight="false" outlineLevel="0" collapsed="false">
      <c r="A416" s="47" t="s">
        <v>252</v>
      </c>
      <c r="B416" s="47" t="n">
        <v>35691</v>
      </c>
      <c r="C416" s="47" t="s">
        <v>1164</v>
      </c>
      <c r="D416" s="47" t="s">
        <v>419</v>
      </c>
      <c r="E416" s="47" t="s">
        <v>8</v>
      </c>
      <c r="F416" s="47" t="s">
        <v>367</v>
      </c>
      <c r="G416" s="97" t="s">
        <v>368</v>
      </c>
    </row>
    <row r="417" customFormat="false" ht="14.25" hidden="false" customHeight="false" outlineLevel="0" collapsed="false">
      <c r="A417" s="47" t="s">
        <v>252</v>
      </c>
      <c r="B417" s="47" t="n">
        <v>35691</v>
      </c>
      <c r="C417" s="47" t="s">
        <v>1165</v>
      </c>
      <c r="D417" s="47" t="s">
        <v>1166</v>
      </c>
      <c r="E417" s="47" t="s">
        <v>8</v>
      </c>
      <c r="F417" s="47" t="s">
        <v>374</v>
      </c>
      <c r="G417" s="97" t="s">
        <v>381</v>
      </c>
    </row>
    <row r="418" customFormat="false" ht="14.25" hidden="false" customHeight="false" outlineLevel="0" collapsed="false">
      <c r="A418" s="47" t="s">
        <v>252</v>
      </c>
      <c r="B418" s="47" t="n">
        <v>35691</v>
      </c>
      <c r="C418" s="47" t="s">
        <v>1167</v>
      </c>
      <c r="D418" s="47" t="s">
        <v>1168</v>
      </c>
      <c r="E418" s="47" t="s">
        <v>8</v>
      </c>
      <c r="F418" s="47" t="s">
        <v>374</v>
      </c>
      <c r="G418" s="97" t="s">
        <v>381</v>
      </c>
    </row>
    <row r="419" customFormat="false" ht="14.25" hidden="false" customHeight="false" outlineLevel="0" collapsed="false">
      <c r="A419" s="47" t="s">
        <v>252</v>
      </c>
      <c r="B419" s="47" t="n">
        <v>35691</v>
      </c>
      <c r="C419" s="47" t="s">
        <v>1169</v>
      </c>
      <c r="D419" s="47" t="s">
        <v>582</v>
      </c>
      <c r="E419" s="47" t="s">
        <v>8</v>
      </c>
      <c r="F419" s="47" t="s">
        <v>374</v>
      </c>
      <c r="G419" s="97" t="s">
        <v>381</v>
      </c>
    </row>
    <row r="420" customFormat="false" ht="14.25" hidden="false" customHeight="false" outlineLevel="0" collapsed="false">
      <c r="A420" s="47" t="s">
        <v>252</v>
      </c>
      <c r="B420" s="47" t="n">
        <v>35691</v>
      </c>
      <c r="C420" s="47" t="s">
        <v>1170</v>
      </c>
      <c r="D420" s="47" t="s">
        <v>1171</v>
      </c>
      <c r="E420" s="47" t="s">
        <v>8</v>
      </c>
      <c r="F420" s="47" t="s">
        <v>374</v>
      </c>
      <c r="G420" s="97" t="s">
        <v>392</v>
      </c>
    </row>
    <row r="421" customFormat="false" ht="14.25" hidden="false" customHeight="false" outlineLevel="0" collapsed="false">
      <c r="A421" s="47" t="s">
        <v>252</v>
      </c>
      <c r="B421" s="47" t="n">
        <v>35691</v>
      </c>
      <c r="C421" s="47" t="s">
        <v>1172</v>
      </c>
      <c r="D421" s="47" t="s">
        <v>1173</v>
      </c>
      <c r="E421" s="47" t="s">
        <v>8</v>
      </c>
      <c r="F421" s="47" t="s">
        <v>374</v>
      </c>
      <c r="G421" s="97" t="s">
        <v>381</v>
      </c>
    </row>
    <row r="422" customFormat="false" ht="14.25" hidden="false" customHeight="false" outlineLevel="0" collapsed="false">
      <c r="A422" s="47" t="s">
        <v>252</v>
      </c>
      <c r="B422" s="47" t="n">
        <v>35691</v>
      </c>
      <c r="C422" s="47" t="s">
        <v>1174</v>
      </c>
      <c r="D422" s="47" t="s">
        <v>1175</v>
      </c>
      <c r="E422" s="47" t="s">
        <v>8</v>
      </c>
      <c r="F422" s="47" t="s">
        <v>374</v>
      </c>
      <c r="G422" s="97" t="s">
        <v>392</v>
      </c>
    </row>
    <row r="423" customFormat="false" ht="14.25" hidden="false" customHeight="false" outlineLevel="0" collapsed="false">
      <c r="A423" s="47" t="s">
        <v>252</v>
      </c>
      <c r="B423" s="47" t="n">
        <v>35691</v>
      </c>
      <c r="C423" s="47" t="s">
        <v>1176</v>
      </c>
      <c r="D423" s="47" t="s">
        <v>839</v>
      </c>
      <c r="E423" s="47" t="s">
        <v>8</v>
      </c>
      <c r="F423" s="47" t="s">
        <v>367</v>
      </c>
      <c r="G423" s="97" t="s">
        <v>368</v>
      </c>
    </row>
    <row r="424" customFormat="false" ht="14.25" hidden="false" customHeight="false" outlineLevel="0" collapsed="false">
      <c r="A424" s="47" t="s">
        <v>252</v>
      </c>
      <c r="B424" s="47" t="n">
        <v>35691</v>
      </c>
      <c r="C424" s="47" t="s">
        <v>1177</v>
      </c>
      <c r="D424" s="47" t="s">
        <v>853</v>
      </c>
      <c r="E424" s="47" t="s">
        <v>8</v>
      </c>
      <c r="F424" s="47" t="s">
        <v>374</v>
      </c>
      <c r="G424" s="97" t="s">
        <v>392</v>
      </c>
    </row>
    <row r="425" customFormat="false" ht="14.25" hidden="false" customHeight="false" outlineLevel="0" collapsed="false">
      <c r="A425" s="47" t="s">
        <v>252</v>
      </c>
      <c r="B425" s="47" t="n">
        <v>35691</v>
      </c>
      <c r="C425" s="47" t="s">
        <v>1178</v>
      </c>
      <c r="D425" s="47" t="s">
        <v>1179</v>
      </c>
      <c r="E425" s="47" t="s">
        <v>8</v>
      </c>
      <c r="F425" s="47" t="s">
        <v>367</v>
      </c>
      <c r="G425" s="97" t="s">
        <v>368</v>
      </c>
    </row>
    <row r="426" customFormat="false" ht="14.25" hidden="false" customHeight="false" outlineLevel="0" collapsed="false">
      <c r="A426" s="47" t="s">
        <v>252</v>
      </c>
      <c r="B426" s="47" t="n">
        <v>35691</v>
      </c>
      <c r="C426" s="47" t="s">
        <v>1180</v>
      </c>
      <c r="D426" s="47" t="s">
        <v>1181</v>
      </c>
      <c r="E426" s="47" t="s">
        <v>8</v>
      </c>
      <c r="F426" s="47" t="s">
        <v>374</v>
      </c>
      <c r="G426" s="97" t="s">
        <v>371</v>
      </c>
    </row>
    <row r="427" customFormat="false" ht="14.25" hidden="false" customHeight="false" outlineLevel="0" collapsed="false">
      <c r="A427" s="47" t="s">
        <v>252</v>
      </c>
      <c r="B427" s="47" t="n">
        <v>35691</v>
      </c>
      <c r="C427" s="47" t="s">
        <v>1182</v>
      </c>
      <c r="D427" s="47" t="s">
        <v>1183</v>
      </c>
      <c r="E427" s="47" t="s">
        <v>8</v>
      </c>
      <c r="F427" s="47" t="s">
        <v>367</v>
      </c>
      <c r="G427" s="97" t="s">
        <v>368</v>
      </c>
    </row>
    <row r="428" customFormat="false" ht="14.25" hidden="false" customHeight="false" outlineLevel="0" collapsed="false">
      <c r="A428" s="47" t="s">
        <v>252</v>
      </c>
      <c r="B428" s="47" t="n">
        <v>35691</v>
      </c>
      <c r="C428" s="47" t="s">
        <v>1184</v>
      </c>
      <c r="D428" s="47" t="s">
        <v>458</v>
      </c>
      <c r="E428" s="47" t="s">
        <v>8</v>
      </c>
      <c r="F428" s="47" t="s">
        <v>374</v>
      </c>
      <c r="G428" s="97" t="s">
        <v>392</v>
      </c>
    </row>
    <row r="429" customFormat="false" ht="14.25" hidden="false" customHeight="false" outlineLevel="0" collapsed="false">
      <c r="A429" s="47" t="s">
        <v>252</v>
      </c>
      <c r="B429" s="47" t="n">
        <v>35691</v>
      </c>
      <c r="C429" s="47" t="s">
        <v>1185</v>
      </c>
      <c r="D429" s="47" t="s">
        <v>1186</v>
      </c>
      <c r="E429" s="47" t="s">
        <v>8</v>
      </c>
      <c r="F429" s="47" t="s">
        <v>367</v>
      </c>
      <c r="G429" s="97" t="s">
        <v>368</v>
      </c>
    </row>
    <row r="430" customFormat="false" ht="14.25" hidden="false" customHeight="false" outlineLevel="0" collapsed="false">
      <c r="A430" s="47" t="s">
        <v>252</v>
      </c>
      <c r="B430" s="47" t="n">
        <v>35691</v>
      </c>
      <c r="C430" s="47" t="s">
        <v>1187</v>
      </c>
      <c r="D430" s="47" t="s">
        <v>1188</v>
      </c>
      <c r="E430" s="47" t="s">
        <v>8</v>
      </c>
      <c r="F430" s="47" t="s">
        <v>374</v>
      </c>
      <c r="G430" s="97" t="s">
        <v>371</v>
      </c>
    </row>
    <row r="431" customFormat="false" ht="14.25" hidden="false" customHeight="false" outlineLevel="0" collapsed="false">
      <c r="A431" s="47" t="s">
        <v>252</v>
      </c>
      <c r="B431" s="47" t="n">
        <v>35691</v>
      </c>
      <c r="C431" s="47" t="s">
        <v>1189</v>
      </c>
      <c r="D431" s="47" t="s">
        <v>1190</v>
      </c>
      <c r="E431" s="47" t="s">
        <v>8</v>
      </c>
      <c r="F431" s="47" t="s">
        <v>374</v>
      </c>
      <c r="G431" s="97" t="s">
        <v>381</v>
      </c>
    </row>
    <row r="432" customFormat="false" ht="14.25" hidden="false" customHeight="false" outlineLevel="0" collapsed="false">
      <c r="A432" s="47" t="s">
        <v>252</v>
      </c>
      <c r="B432" s="47" t="n">
        <v>35691</v>
      </c>
      <c r="C432" s="47" t="s">
        <v>1191</v>
      </c>
      <c r="D432" s="47" t="s">
        <v>1192</v>
      </c>
      <c r="E432" s="47" t="s">
        <v>8</v>
      </c>
      <c r="F432" s="47" t="s">
        <v>374</v>
      </c>
      <c r="G432" s="97" t="s">
        <v>381</v>
      </c>
    </row>
    <row r="433" customFormat="false" ht="14.25" hidden="false" customHeight="false" outlineLevel="0" collapsed="false">
      <c r="A433" s="47" t="s">
        <v>252</v>
      </c>
      <c r="B433" s="47" t="n">
        <v>35691</v>
      </c>
      <c r="C433" s="47" t="s">
        <v>1193</v>
      </c>
      <c r="D433" s="47" t="s">
        <v>1194</v>
      </c>
      <c r="E433" s="47" t="s">
        <v>8</v>
      </c>
      <c r="F433" s="47" t="s">
        <v>374</v>
      </c>
      <c r="G433" s="97" t="s">
        <v>392</v>
      </c>
    </row>
    <row r="434" customFormat="false" ht="14.25" hidden="false" customHeight="false" outlineLevel="0" collapsed="false">
      <c r="A434" s="47" t="s">
        <v>252</v>
      </c>
      <c r="B434" s="47" t="n">
        <v>35691</v>
      </c>
      <c r="C434" s="47" t="s">
        <v>1195</v>
      </c>
      <c r="D434" s="47" t="s">
        <v>1196</v>
      </c>
      <c r="E434" s="47" t="s">
        <v>8</v>
      </c>
      <c r="F434" s="47" t="s">
        <v>374</v>
      </c>
      <c r="G434" s="97" t="s">
        <v>381</v>
      </c>
    </row>
    <row r="435" customFormat="false" ht="14.25" hidden="false" customHeight="false" outlineLevel="0" collapsed="false">
      <c r="A435" s="47" t="s">
        <v>252</v>
      </c>
      <c r="B435" s="47" t="n">
        <v>35691</v>
      </c>
      <c r="C435" s="47" t="s">
        <v>1197</v>
      </c>
      <c r="D435" s="47" t="s">
        <v>1198</v>
      </c>
      <c r="E435" s="47" t="s">
        <v>8</v>
      </c>
      <c r="F435" s="47" t="s">
        <v>374</v>
      </c>
      <c r="G435" s="97" t="s">
        <v>392</v>
      </c>
    </row>
    <row r="436" customFormat="false" ht="14.25" hidden="false" customHeight="false" outlineLevel="0" collapsed="false">
      <c r="A436" s="47" t="s">
        <v>252</v>
      </c>
      <c r="B436" s="47" t="n">
        <v>35691</v>
      </c>
      <c r="C436" s="47" t="s">
        <v>1199</v>
      </c>
      <c r="D436" s="47" t="s">
        <v>877</v>
      </c>
      <c r="E436" s="47" t="s">
        <v>8</v>
      </c>
      <c r="F436" s="47" t="s">
        <v>374</v>
      </c>
      <c r="G436" s="97" t="s">
        <v>392</v>
      </c>
    </row>
    <row r="437" customFormat="false" ht="14.25" hidden="false" customHeight="false" outlineLevel="0" collapsed="false">
      <c r="A437" s="47" t="s">
        <v>252</v>
      </c>
      <c r="B437" s="47" t="n">
        <v>35691</v>
      </c>
      <c r="C437" s="47" t="s">
        <v>1200</v>
      </c>
      <c r="D437" s="47" t="s">
        <v>1201</v>
      </c>
      <c r="E437" s="47" t="s">
        <v>8</v>
      </c>
      <c r="F437" s="47" t="s">
        <v>374</v>
      </c>
      <c r="G437" s="97" t="s">
        <v>392</v>
      </c>
    </row>
    <row r="438" customFormat="false" ht="14.25" hidden="false" customHeight="false" outlineLevel="0" collapsed="false">
      <c r="A438" s="47" t="s">
        <v>252</v>
      </c>
      <c r="B438" s="47" t="n">
        <v>35691</v>
      </c>
      <c r="C438" s="47" t="s">
        <v>1202</v>
      </c>
      <c r="D438" s="47" t="s">
        <v>1203</v>
      </c>
      <c r="E438" s="47" t="s">
        <v>8</v>
      </c>
      <c r="F438" s="47" t="s">
        <v>367</v>
      </c>
      <c r="G438" s="97" t="s">
        <v>368</v>
      </c>
    </row>
    <row r="439" customFormat="false" ht="14.25" hidden="false" customHeight="false" outlineLevel="0" collapsed="false">
      <c r="A439" s="47" t="s">
        <v>252</v>
      </c>
      <c r="B439" s="47" t="n">
        <v>35691</v>
      </c>
      <c r="C439" s="47" t="s">
        <v>1204</v>
      </c>
      <c r="D439" s="47" t="s">
        <v>1205</v>
      </c>
      <c r="E439" s="47" t="s">
        <v>8</v>
      </c>
      <c r="F439" s="47" t="s">
        <v>367</v>
      </c>
      <c r="G439" s="97" t="s">
        <v>368</v>
      </c>
    </row>
    <row r="440" customFormat="false" ht="14.25" hidden="false" customHeight="false" outlineLevel="0" collapsed="false">
      <c r="A440" s="47" t="s">
        <v>252</v>
      </c>
      <c r="B440" s="47" t="n">
        <v>35691</v>
      </c>
      <c r="C440" s="47" t="s">
        <v>1206</v>
      </c>
      <c r="D440" s="47" t="s">
        <v>1207</v>
      </c>
      <c r="E440" s="47" t="s">
        <v>8</v>
      </c>
      <c r="F440" s="47" t="s">
        <v>367</v>
      </c>
      <c r="G440" s="97" t="s">
        <v>368</v>
      </c>
    </row>
    <row r="441" customFormat="false" ht="14.25" hidden="false" customHeight="false" outlineLevel="0" collapsed="false">
      <c r="A441" s="47" t="s">
        <v>252</v>
      </c>
      <c r="B441" s="47" t="n">
        <v>35691</v>
      </c>
      <c r="C441" s="47" t="s">
        <v>1208</v>
      </c>
      <c r="D441" s="47" t="s">
        <v>1209</v>
      </c>
      <c r="E441" s="47" t="s">
        <v>8</v>
      </c>
      <c r="F441" s="47" t="s">
        <v>367</v>
      </c>
      <c r="G441" s="97" t="s">
        <v>368</v>
      </c>
    </row>
    <row r="442" customFormat="false" ht="14.25" hidden="false" customHeight="false" outlineLevel="0" collapsed="false">
      <c r="A442" s="47" t="s">
        <v>252</v>
      </c>
      <c r="B442" s="47" t="n">
        <v>35691</v>
      </c>
      <c r="C442" s="47" t="s">
        <v>1210</v>
      </c>
      <c r="D442" s="47" t="s">
        <v>1211</v>
      </c>
      <c r="E442" s="47" t="s">
        <v>8</v>
      </c>
      <c r="F442" s="47" t="s">
        <v>374</v>
      </c>
      <c r="G442" s="97" t="s">
        <v>371</v>
      </c>
    </row>
    <row r="443" customFormat="false" ht="14.25" hidden="false" customHeight="false" outlineLevel="0" collapsed="false">
      <c r="A443" s="47" t="s">
        <v>252</v>
      </c>
      <c r="B443" s="47" t="n">
        <v>35691</v>
      </c>
      <c r="C443" s="47" t="s">
        <v>1212</v>
      </c>
      <c r="D443" s="47" t="s">
        <v>1213</v>
      </c>
      <c r="E443" s="47" t="s">
        <v>8</v>
      </c>
      <c r="F443" s="47" t="s">
        <v>374</v>
      </c>
      <c r="G443" s="97" t="s">
        <v>381</v>
      </c>
    </row>
    <row r="444" customFormat="false" ht="14.25" hidden="false" customHeight="false" outlineLevel="0" collapsed="false">
      <c r="A444" s="47" t="s">
        <v>252</v>
      </c>
      <c r="B444" s="47" t="n">
        <v>35691</v>
      </c>
      <c r="C444" s="47" t="s">
        <v>1214</v>
      </c>
      <c r="D444" s="47" t="s">
        <v>1215</v>
      </c>
      <c r="E444" s="47" t="s">
        <v>8</v>
      </c>
      <c r="F444" s="47" t="s">
        <v>374</v>
      </c>
      <c r="G444" s="97" t="s">
        <v>392</v>
      </c>
    </row>
    <row r="445" customFormat="false" ht="14.25" hidden="false" customHeight="false" outlineLevel="0" collapsed="false">
      <c r="A445" s="47" t="s">
        <v>252</v>
      </c>
      <c r="B445" s="47" t="n">
        <v>35691</v>
      </c>
      <c r="C445" s="47" t="s">
        <v>1216</v>
      </c>
      <c r="D445" s="47" t="s">
        <v>1217</v>
      </c>
      <c r="E445" s="47" t="s">
        <v>8</v>
      </c>
      <c r="F445" s="47" t="s">
        <v>374</v>
      </c>
      <c r="G445" s="97" t="s">
        <v>381</v>
      </c>
    </row>
    <row r="446" customFormat="false" ht="14.25" hidden="false" customHeight="false" outlineLevel="0" collapsed="false">
      <c r="A446" s="47" t="s">
        <v>252</v>
      </c>
      <c r="B446" s="47" t="n">
        <v>35691</v>
      </c>
      <c r="C446" s="47" t="s">
        <v>1218</v>
      </c>
      <c r="D446" s="47" t="s">
        <v>1219</v>
      </c>
      <c r="E446" s="47" t="s">
        <v>8</v>
      </c>
      <c r="F446" s="47" t="s">
        <v>374</v>
      </c>
      <c r="G446" s="97" t="s">
        <v>392</v>
      </c>
    </row>
    <row r="447" customFormat="false" ht="14.25" hidden="false" customHeight="false" outlineLevel="0" collapsed="false">
      <c r="A447" s="47" t="s">
        <v>252</v>
      </c>
      <c r="B447" s="47" t="n">
        <v>35691</v>
      </c>
      <c r="C447" s="47" t="s">
        <v>1220</v>
      </c>
      <c r="D447" s="47" t="s">
        <v>1221</v>
      </c>
      <c r="E447" s="47" t="s">
        <v>8</v>
      </c>
      <c r="F447" s="47" t="s">
        <v>367</v>
      </c>
      <c r="G447" s="97" t="s">
        <v>368</v>
      </c>
    </row>
    <row r="448" customFormat="false" ht="14.25" hidden="false" customHeight="false" outlineLevel="0" collapsed="false">
      <c r="A448" s="47" t="s">
        <v>252</v>
      </c>
      <c r="B448" s="47" t="n">
        <v>35691</v>
      </c>
      <c r="C448" s="47" t="s">
        <v>1222</v>
      </c>
      <c r="D448" s="47" t="s">
        <v>1223</v>
      </c>
      <c r="E448" s="47" t="s">
        <v>8</v>
      </c>
      <c r="F448" s="47" t="s">
        <v>367</v>
      </c>
      <c r="G448" s="97" t="s">
        <v>368</v>
      </c>
    </row>
    <row r="449" customFormat="false" ht="14.25" hidden="false" customHeight="false" outlineLevel="0" collapsed="false">
      <c r="A449" s="47" t="s">
        <v>252</v>
      </c>
      <c r="B449" s="47" t="n">
        <v>35691</v>
      </c>
      <c r="C449" s="47" t="s">
        <v>1224</v>
      </c>
      <c r="D449" s="47" t="s">
        <v>1225</v>
      </c>
      <c r="E449" s="47" t="s">
        <v>8</v>
      </c>
      <c r="F449" s="47" t="s">
        <v>367</v>
      </c>
      <c r="G449" s="97" t="s">
        <v>368</v>
      </c>
    </row>
    <row r="450" customFormat="false" ht="14.25" hidden="false" customHeight="false" outlineLevel="0" collapsed="false">
      <c r="A450" s="47" t="s">
        <v>252</v>
      </c>
      <c r="B450" s="47" t="n">
        <v>35691</v>
      </c>
      <c r="C450" s="47" t="s">
        <v>1226</v>
      </c>
      <c r="D450" s="47" t="s">
        <v>1227</v>
      </c>
      <c r="E450" s="47" t="s">
        <v>8</v>
      </c>
      <c r="F450" s="47" t="s">
        <v>367</v>
      </c>
      <c r="G450" s="97" t="s">
        <v>368</v>
      </c>
    </row>
    <row r="451" customFormat="false" ht="14.25" hidden="false" customHeight="false" outlineLevel="0" collapsed="false">
      <c r="A451" s="47" t="s">
        <v>252</v>
      </c>
      <c r="B451" s="47" t="n">
        <v>35691</v>
      </c>
      <c r="C451" s="47" t="s">
        <v>1228</v>
      </c>
      <c r="D451" s="47" t="s">
        <v>1229</v>
      </c>
      <c r="E451" s="47" t="s">
        <v>8</v>
      </c>
      <c r="F451" s="47" t="s">
        <v>367</v>
      </c>
      <c r="G451" s="97" t="s">
        <v>368</v>
      </c>
    </row>
    <row r="452" customFormat="false" ht="14.25" hidden="false" customHeight="false" outlineLevel="0" collapsed="false">
      <c r="A452" s="47" t="s">
        <v>252</v>
      </c>
      <c r="B452" s="47" t="n">
        <v>35691</v>
      </c>
      <c r="C452" s="47" t="s">
        <v>1230</v>
      </c>
      <c r="D452" s="47" t="s">
        <v>1231</v>
      </c>
      <c r="E452" s="47" t="s">
        <v>8</v>
      </c>
      <c r="F452" s="47" t="s">
        <v>367</v>
      </c>
      <c r="G452" s="97" t="s">
        <v>368</v>
      </c>
    </row>
    <row r="453" customFormat="false" ht="14.25" hidden="false" customHeight="false" outlineLevel="0" collapsed="false">
      <c r="A453" s="47" t="s">
        <v>252</v>
      </c>
      <c r="B453" s="47" t="n">
        <v>35691</v>
      </c>
      <c r="C453" s="47" t="s">
        <v>1232</v>
      </c>
      <c r="D453" s="47" t="s">
        <v>1233</v>
      </c>
      <c r="E453" s="47" t="s">
        <v>8</v>
      </c>
      <c r="F453" s="47" t="s">
        <v>367</v>
      </c>
      <c r="G453" s="97" t="s">
        <v>368</v>
      </c>
    </row>
    <row r="454" customFormat="false" ht="14.25" hidden="false" customHeight="false" outlineLevel="0" collapsed="false">
      <c r="A454" s="47" t="s">
        <v>252</v>
      </c>
      <c r="B454" s="47" t="n">
        <v>35691</v>
      </c>
      <c r="C454" s="47" t="s">
        <v>1234</v>
      </c>
      <c r="D454" s="47" t="s">
        <v>1235</v>
      </c>
      <c r="E454" s="47" t="s">
        <v>8</v>
      </c>
      <c r="F454" s="47" t="s">
        <v>367</v>
      </c>
      <c r="G454" s="97" t="s">
        <v>368</v>
      </c>
    </row>
    <row r="455" customFormat="false" ht="14.25" hidden="false" customHeight="false" outlineLevel="0" collapsed="false">
      <c r="A455" s="47" t="s">
        <v>252</v>
      </c>
      <c r="B455" s="47" t="n">
        <v>35691</v>
      </c>
      <c r="C455" s="47" t="s">
        <v>1236</v>
      </c>
      <c r="D455" s="47" t="s">
        <v>1237</v>
      </c>
      <c r="E455" s="47" t="s">
        <v>8</v>
      </c>
      <c r="F455" s="47" t="s">
        <v>367</v>
      </c>
      <c r="G455" s="97" t="s">
        <v>368</v>
      </c>
    </row>
    <row r="456" customFormat="false" ht="14.25" hidden="false" customHeight="false" outlineLevel="0" collapsed="false">
      <c r="A456" s="47" t="s">
        <v>252</v>
      </c>
      <c r="B456" s="47" t="n">
        <v>35691</v>
      </c>
      <c r="C456" s="47" t="s">
        <v>1238</v>
      </c>
      <c r="D456" s="47" t="s">
        <v>1239</v>
      </c>
      <c r="E456" s="47" t="s">
        <v>8</v>
      </c>
      <c r="F456" s="47" t="s">
        <v>367</v>
      </c>
      <c r="G456" s="97" t="s">
        <v>368</v>
      </c>
    </row>
    <row r="457" customFormat="false" ht="14.25" hidden="false" customHeight="false" outlineLevel="0" collapsed="false">
      <c r="A457" s="47" t="s">
        <v>252</v>
      </c>
      <c r="B457" s="47" t="n">
        <v>35691</v>
      </c>
      <c r="C457" s="47" t="s">
        <v>1240</v>
      </c>
      <c r="D457" s="47" t="s">
        <v>1241</v>
      </c>
      <c r="E457" s="47" t="s">
        <v>8</v>
      </c>
      <c r="F457" s="47" t="s">
        <v>367</v>
      </c>
      <c r="G457" s="97" t="s">
        <v>368</v>
      </c>
    </row>
    <row r="458" customFormat="false" ht="14.25" hidden="false" customHeight="false" outlineLevel="0" collapsed="false">
      <c r="A458" s="47" t="s">
        <v>252</v>
      </c>
      <c r="B458" s="47" t="n">
        <v>35691</v>
      </c>
      <c r="C458" s="47" t="s">
        <v>1242</v>
      </c>
      <c r="D458" s="47" t="s">
        <v>1243</v>
      </c>
      <c r="E458" s="47" t="s">
        <v>8</v>
      </c>
      <c r="F458" s="47" t="s">
        <v>367</v>
      </c>
      <c r="G458" s="97" t="s">
        <v>368</v>
      </c>
    </row>
    <row r="459" customFormat="false" ht="14.25" hidden="false" customHeight="false" outlineLevel="0" collapsed="false">
      <c r="A459" s="47" t="s">
        <v>252</v>
      </c>
      <c r="B459" s="47" t="n">
        <v>35691</v>
      </c>
      <c r="C459" s="47" t="s">
        <v>1244</v>
      </c>
      <c r="D459" s="47" t="s">
        <v>945</v>
      </c>
      <c r="E459" s="47" t="s">
        <v>8</v>
      </c>
      <c r="F459" s="47" t="s">
        <v>367</v>
      </c>
      <c r="G459" s="97" t="s">
        <v>368</v>
      </c>
    </row>
    <row r="460" customFormat="false" ht="14.25" hidden="false" customHeight="false" outlineLevel="0" collapsed="false">
      <c r="A460" s="47" t="s">
        <v>252</v>
      </c>
      <c r="B460" s="47" t="n">
        <v>35691</v>
      </c>
      <c r="C460" s="47" t="s">
        <v>1245</v>
      </c>
      <c r="D460" s="47" t="s">
        <v>1246</v>
      </c>
      <c r="E460" s="47" t="s">
        <v>8</v>
      </c>
      <c r="F460" s="47" t="s">
        <v>374</v>
      </c>
      <c r="G460" s="97" t="s">
        <v>392</v>
      </c>
    </row>
    <row r="461" customFormat="false" ht="14.25" hidden="false" customHeight="false" outlineLevel="0" collapsed="false">
      <c r="A461" s="47" t="s">
        <v>252</v>
      </c>
      <c r="B461" s="47" t="n">
        <v>35691</v>
      </c>
      <c r="C461" s="47" t="s">
        <v>1247</v>
      </c>
      <c r="D461" s="47" t="s">
        <v>1248</v>
      </c>
      <c r="E461" s="47" t="s">
        <v>8</v>
      </c>
      <c r="F461" s="47" t="s">
        <v>367</v>
      </c>
      <c r="G461" s="97" t="s">
        <v>368</v>
      </c>
    </row>
    <row r="462" customFormat="false" ht="14.25" hidden="false" customHeight="false" outlineLevel="0" collapsed="false">
      <c r="A462" s="47" t="s">
        <v>252</v>
      </c>
      <c r="B462" s="47" t="n">
        <v>35691</v>
      </c>
      <c r="C462" s="47" t="s">
        <v>1249</v>
      </c>
      <c r="D462" s="47" t="s">
        <v>1054</v>
      </c>
      <c r="E462" s="47" t="s">
        <v>8</v>
      </c>
      <c r="F462" s="47" t="s">
        <v>367</v>
      </c>
      <c r="G462" s="97" t="s">
        <v>368</v>
      </c>
    </row>
    <row r="463" customFormat="false" ht="14.25" hidden="false" customHeight="false" outlineLevel="0" collapsed="false">
      <c r="A463" s="47" t="s">
        <v>252</v>
      </c>
      <c r="B463" s="47" t="n">
        <v>35691</v>
      </c>
      <c r="C463" s="47" t="s">
        <v>1250</v>
      </c>
      <c r="D463" s="47" t="s">
        <v>1251</v>
      </c>
      <c r="E463" s="47" t="s">
        <v>8</v>
      </c>
      <c r="F463" s="47" t="s">
        <v>367</v>
      </c>
      <c r="G463" s="97" t="s">
        <v>368</v>
      </c>
    </row>
    <row r="464" customFormat="false" ht="14.25" hidden="false" customHeight="false" outlineLevel="0" collapsed="false">
      <c r="A464" s="47" t="s">
        <v>252</v>
      </c>
      <c r="B464" s="47" t="n">
        <v>35691</v>
      </c>
      <c r="C464" s="47" t="s">
        <v>1252</v>
      </c>
      <c r="D464" s="47" t="s">
        <v>1253</v>
      </c>
      <c r="E464" s="47" t="s">
        <v>8</v>
      </c>
      <c r="F464" s="47" t="s">
        <v>367</v>
      </c>
      <c r="G464" s="97" t="s">
        <v>368</v>
      </c>
    </row>
    <row r="465" customFormat="false" ht="14.25" hidden="false" customHeight="false" outlineLevel="0" collapsed="false">
      <c r="A465" s="47" t="s">
        <v>252</v>
      </c>
      <c r="B465" s="47" t="n">
        <v>35691</v>
      </c>
      <c r="C465" s="47" t="s">
        <v>1254</v>
      </c>
      <c r="D465" s="47" t="s">
        <v>1255</v>
      </c>
      <c r="E465" s="47" t="s">
        <v>8</v>
      </c>
      <c r="F465" s="47" t="s">
        <v>367</v>
      </c>
      <c r="G465" s="97" t="s">
        <v>368</v>
      </c>
    </row>
    <row r="466" customFormat="false" ht="14.25" hidden="false" customHeight="false" outlineLevel="0" collapsed="false">
      <c r="A466" s="47" t="s">
        <v>252</v>
      </c>
      <c r="B466" s="47" t="n">
        <v>35691</v>
      </c>
      <c r="C466" s="47" t="s">
        <v>1256</v>
      </c>
      <c r="D466" s="47" t="s">
        <v>1257</v>
      </c>
      <c r="E466" s="47" t="s">
        <v>8</v>
      </c>
      <c r="F466" s="47" t="s">
        <v>367</v>
      </c>
      <c r="G466" s="97" t="s">
        <v>368</v>
      </c>
    </row>
    <row r="467" customFormat="false" ht="14.25" hidden="false" customHeight="false" outlineLevel="0" collapsed="false">
      <c r="A467" s="47" t="s">
        <v>252</v>
      </c>
      <c r="B467" s="47" t="n">
        <v>35691</v>
      </c>
      <c r="C467" s="47" t="s">
        <v>1258</v>
      </c>
      <c r="D467" s="47" t="s">
        <v>1259</v>
      </c>
      <c r="E467" s="47" t="s">
        <v>8</v>
      </c>
      <c r="F467" s="47" t="s">
        <v>367</v>
      </c>
      <c r="G467" s="97" t="s">
        <v>368</v>
      </c>
    </row>
    <row r="468" customFormat="false" ht="14.25" hidden="false" customHeight="false" outlineLevel="0" collapsed="false">
      <c r="A468" s="47" t="s">
        <v>252</v>
      </c>
      <c r="B468" s="47" t="n">
        <v>35691</v>
      </c>
      <c r="C468" s="47" t="s">
        <v>1260</v>
      </c>
      <c r="D468" s="47" t="s">
        <v>1261</v>
      </c>
      <c r="E468" s="47" t="s">
        <v>8</v>
      </c>
      <c r="F468" s="47" t="s">
        <v>367</v>
      </c>
      <c r="G468" s="97" t="s">
        <v>368</v>
      </c>
    </row>
    <row r="469" customFormat="false" ht="14.25" hidden="false" customHeight="false" outlineLevel="0" collapsed="false">
      <c r="A469" s="47" t="s">
        <v>252</v>
      </c>
      <c r="B469" s="47" t="n">
        <v>35691</v>
      </c>
      <c r="C469" s="47" t="s">
        <v>1262</v>
      </c>
      <c r="D469" s="47" t="s">
        <v>1263</v>
      </c>
      <c r="E469" s="47" t="s">
        <v>8</v>
      </c>
      <c r="F469" s="47" t="s">
        <v>374</v>
      </c>
      <c r="G469" s="97" t="s">
        <v>371</v>
      </c>
    </row>
    <row r="470" customFormat="false" ht="14.25" hidden="false" customHeight="false" outlineLevel="0" collapsed="false">
      <c r="A470" s="47" t="s">
        <v>252</v>
      </c>
      <c r="B470" s="47" t="n">
        <v>35691</v>
      </c>
      <c r="C470" s="47" t="s">
        <v>1264</v>
      </c>
      <c r="D470" s="47" t="s">
        <v>1113</v>
      </c>
      <c r="E470" s="47" t="s">
        <v>8</v>
      </c>
      <c r="F470" s="47" t="s">
        <v>374</v>
      </c>
      <c r="G470" s="97" t="s">
        <v>392</v>
      </c>
    </row>
    <row r="471" customFormat="false" ht="14.25" hidden="false" customHeight="false" outlineLevel="0" collapsed="false">
      <c r="A471" s="47" t="s">
        <v>252</v>
      </c>
      <c r="B471" s="47" t="n">
        <v>35691</v>
      </c>
      <c r="C471" s="47" t="s">
        <v>1265</v>
      </c>
      <c r="D471" s="47" t="s">
        <v>1266</v>
      </c>
      <c r="E471" s="47" t="s">
        <v>8</v>
      </c>
      <c r="F471" s="47" t="s">
        <v>374</v>
      </c>
      <c r="G471" s="97" t="s">
        <v>392</v>
      </c>
    </row>
    <row r="472" customFormat="false" ht="14.25" hidden="false" customHeight="false" outlineLevel="0" collapsed="false">
      <c r="A472" s="47" t="s">
        <v>252</v>
      </c>
      <c r="B472" s="47" t="n">
        <v>35691</v>
      </c>
      <c r="C472" s="47" t="s">
        <v>1267</v>
      </c>
      <c r="D472" s="47" t="s">
        <v>1268</v>
      </c>
      <c r="E472" s="47" t="s">
        <v>8</v>
      </c>
      <c r="F472" s="47" t="s">
        <v>367</v>
      </c>
      <c r="G472" s="97" t="s">
        <v>368</v>
      </c>
    </row>
    <row r="473" customFormat="false" ht="14.25" hidden="false" customHeight="false" outlineLevel="0" collapsed="false">
      <c r="A473" s="47" t="s">
        <v>252</v>
      </c>
      <c r="B473" s="47" t="n">
        <v>35691</v>
      </c>
      <c r="C473" s="47" t="s">
        <v>1269</v>
      </c>
      <c r="D473" s="47" t="s">
        <v>1270</v>
      </c>
      <c r="E473" s="47" t="s">
        <v>8</v>
      </c>
      <c r="F473" s="47" t="s">
        <v>374</v>
      </c>
      <c r="G473" s="97" t="s">
        <v>371</v>
      </c>
    </row>
    <row r="474" customFormat="false" ht="14.25" hidden="false" customHeight="false" outlineLevel="0" collapsed="false">
      <c r="A474" s="47" t="s">
        <v>252</v>
      </c>
      <c r="B474" s="47" t="n">
        <v>35691</v>
      </c>
      <c r="C474" s="47" t="s">
        <v>1271</v>
      </c>
      <c r="D474" s="47" t="s">
        <v>1272</v>
      </c>
      <c r="E474" s="47" t="s">
        <v>8</v>
      </c>
      <c r="F474" s="47" t="s">
        <v>367</v>
      </c>
      <c r="G474" s="97" t="s">
        <v>368</v>
      </c>
    </row>
    <row r="475" customFormat="false" ht="14.25" hidden="false" customHeight="false" outlineLevel="0" collapsed="false">
      <c r="A475" s="47" t="s">
        <v>252</v>
      </c>
      <c r="B475" s="47" t="n">
        <v>35691</v>
      </c>
      <c r="C475" s="47" t="s">
        <v>1273</v>
      </c>
      <c r="D475" s="47" t="s">
        <v>943</v>
      </c>
      <c r="E475" s="47" t="s">
        <v>8</v>
      </c>
      <c r="F475" s="47" t="s">
        <v>367</v>
      </c>
      <c r="G475" s="97" t="s">
        <v>368</v>
      </c>
    </row>
    <row r="476" customFormat="false" ht="14.25" hidden="false" customHeight="false" outlineLevel="0" collapsed="false">
      <c r="A476" s="47" t="s">
        <v>252</v>
      </c>
      <c r="B476" s="47" t="n">
        <v>35691</v>
      </c>
      <c r="C476" s="47" t="s">
        <v>1274</v>
      </c>
      <c r="D476" s="47" t="s">
        <v>1275</v>
      </c>
      <c r="E476" s="47" t="s">
        <v>8</v>
      </c>
      <c r="F476" s="47" t="s">
        <v>374</v>
      </c>
      <c r="G476" s="97" t="s">
        <v>381</v>
      </c>
    </row>
    <row r="477" customFormat="false" ht="14.25" hidden="false" customHeight="false" outlineLevel="0" collapsed="false">
      <c r="A477" s="47" t="s">
        <v>252</v>
      </c>
      <c r="B477" s="47" t="n">
        <v>35691</v>
      </c>
      <c r="C477" s="47" t="s">
        <v>1276</v>
      </c>
      <c r="D477" s="47" t="s">
        <v>655</v>
      </c>
      <c r="E477" s="47" t="s">
        <v>8</v>
      </c>
      <c r="F477" s="47" t="s">
        <v>367</v>
      </c>
      <c r="G477" s="97" t="s">
        <v>368</v>
      </c>
    </row>
    <row r="478" customFormat="false" ht="14.25" hidden="false" customHeight="false" outlineLevel="0" collapsed="false">
      <c r="A478" s="47" t="s">
        <v>252</v>
      </c>
      <c r="B478" s="47" t="n">
        <v>35691</v>
      </c>
      <c r="C478" s="47" t="s">
        <v>1277</v>
      </c>
      <c r="D478" s="47" t="s">
        <v>1278</v>
      </c>
      <c r="E478" s="47" t="s">
        <v>8</v>
      </c>
      <c r="F478" s="47" t="s">
        <v>367</v>
      </c>
      <c r="G478" s="97" t="s">
        <v>368</v>
      </c>
    </row>
    <row r="479" customFormat="false" ht="14.25" hidden="false" customHeight="false" outlineLevel="0" collapsed="false">
      <c r="A479" s="47" t="s">
        <v>252</v>
      </c>
      <c r="B479" s="47" t="n">
        <v>35691</v>
      </c>
      <c r="C479" s="47" t="s">
        <v>1279</v>
      </c>
      <c r="D479" s="47" t="s">
        <v>955</v>
      </c>
      <c r="E479" s="47" t="s">
        <v>8</v>
      </c>
      <c r="F479" s="47" t="s">
        <v>367</v>
      </c>
      <c r="G479" s="97" t="s">
        <v>368</v>
      </c>
    </row>
    <row r="480" customFormat="false" ht="14.25" hidden="false" customHeight="false" outlineLevel="0" collapsed="false">
      <c r="A480" s="47" t="s">
        <v>252</v>
      </c>
      <c r="B480" s="47" t="n">
        <v>35691</v>
      </c>
      <c r="C480" s="47" t="s">
        <v>1280</v>
      </c>
      <c r="D480" s="47" t="s">
        <v>1281</v>
      </c>
      <c r="E480" s="47" t="s">
        <v>8</v>
      </c>
      <c r="F480" s="47" t="s">
        <v>367</v>
      </c>
      <c r="G480" s="97" t="s">
        <v>368</v>
      </c>
    </row>
    <row r="481" customFormat="false" ht="14.25" hidden="false" customHeight="false" outlineLevel="0" collapsed="false">
      <c r="A481" s="47" t="s">
        <v>252</v>
      </c>
      <c r="B481" s="47" t="n">
        <v>35691</v>
      </c>
      <c r="C481" s="47" t="s">
        <v>1282</v>
      </c>
      <c r="D481" s="47" t="s">
        <v>1283</v>
      </c>
      <c r="E481" s="47" t="s">
        <v>8</v>
      </c>
      <c r="F481" s="47" t="s">
        <v>374</v>
      </c>
      <c r="G481" s="97" t="s">
        <v>392</v>
      </c>
    </row>
    <row r="482" customFormat="false" ht="14.25" hidden="false" customHeight="false" outlineLevel="0" collapsed="false">
      <c r="A482" s="47" t="s">
        <v>252</v>
      </c>
      <c r="B482" s="47" t="n">
        <v>35691</v>
      </c>
      <c r="C482" s="47" t="s">
        <v>1284</v>
      </c>
      <c r="D482" s="47" t="s">
        <v>1285</v>
      </c>
      <c r="E482" s="47" t="s">
        <v>8</v>
      </c>
      <c r="F482" s="47" t="s">
        <v>367</v>
      </c>
      <c r="G482" s="97" t="s">
        <v>368</v>
      </c>
    </row>
    <row r="483" customFormat="false" ht="14.25" hidden="false" customHeight="false" outlineLevel="0" collapsed="false">
      <c r="A483" s="47" t="s">
        <v>252</v>
      </c>
      <c r="B483" s="47" t="n">
        <v>35691</v>
      </c>
      <c r="C483" s="47" t="s">
        <v>1286</v>
      </c>
      <c r="D483" s="47" t="s">
        <v>1287</v>
      </c>
      <c r="E483" s="47" t="s">
        <v>8</v>
      </c>
      <c r="F483" s="47" t="s">
        <v>367</v>
      </c>
      <c r="G483" s="97" t="s">
        <v>368</v>
      </c>
    </row>
    <row r="484" customFormat="false" ht="14.25" hidden="false" customHeight="false" outlineLevel="0" collapsed="false">
      <c r="A484" s="47" t="s">
        <v>252</v>
      </c>
      <c r="B484" s="47" t="n">
        <v>35691</v>
      </c>
      <c r="C484" s="47" t="s">
        <v>1288</v>
      </c>
      <c r="D484" s="47" t="s">
        <v>1289</v>
      </c>
      <c r="E484" s="47" t="s">
        <v>8</v>
      </c>
      <c r="F484" s="47" t="s">
        <v>374</v>
      </c>
      <c r="G484" s="97" t="s">
        <v>392</v>
      </c>
    </row>
    <row r="485" customFormat="false" ht="14.25" hidden="false" customHeight="false" outlineLevel="0" collapsed="false">
      <c r="A485" s="47" t="s">
        <v>252</v>
      </c>
      <c r="B485" s="47" t="n">
        <v>35691</v>
      </c>
      <c r="C485" s="47" t="s">
        <v>1290</v>
      </c>
      <c r="D485" s="47" t="s">
        <v>1291</v>
      </c>
      <c r="E485" s="47" t="s">
        <v>8</v>
      </c>
      <c r="F485" s="47" t="s">
        <v>367</v>
      </c>
      <c r="G485" s="97" t="s">
        <v>368</v>
      </c>
    </row>
    <row r="486" customFormat="false" ht="14.25" hidden="false" customHeight="false" outlineLevel="0" collapsed="false">
      <c r="A486" s="47" t="s">
        <v>252</v>
      </c>
      <c r="B486" s="47" t="n">
        <v>35691</v>
      </c>
      <c r="C486" s="47" t="s">
        <v>1292</v>
      </c>
      <c r="D486" s="47" t="s">
        <v>1293</v>
      </c>
      <c r="E486" s="47" t="s">
        <v>8</v>
      </c>
      <c r="F486" s="47" t="s">
        <v>374</v>
      </c>
      <c r="G486" s="97" t="s">
        <v>392</v>
      </c>
    </row>
    <row r="487" customFormat="false" ht="14.25" hidden="false" customHeight="false" outlineLevel="0" collapsed="false">
      <c r="A487" s="47" t="s">
        <v>252</v>
      </c>
      <c r="B487" s="47" t="n">
        <v>35691</v>
      </c>
      <c r="C487" s="47" t="s">
        <v>1294</v>
      </c>
      <c r="D487" s="47" t="s">
        <v>1295</v>
      </c>
      <c r="E487" s="47" t="s">
        <v>8</v>
      </c>
      <c r="F487" s="47" t="s">
        <v>367</v>
      </c>
      <c r="G487" s="97" t="s">
        <v>368</v>
      </c>
    </row>
    <row r="488" customFormat="false" ht="14.25" hidden="false" customHeight="false" outlineLevel="0" collapsed="false">
      <c r="A488" s="47" t="s">
        <v>252</v>
      </c>
      <c r="B488" s="47" t="n">
        <v>35691</v>
      </c>
      <c r="C488" s="47" t="s">
        <v>1296</v>
      </c>
      <c r="D488" s="47" t="s">
        <v>1297</v>
      </c>
      <c r="E488" s="47" t="s">
        <v>8</v>
      </c>
      <c r="F488" s="47" t="s">
        <v>367</v>
      </c>
      <c r="G488" s="97" t="s">
        <v>368</v>
      </c>
    </row>
    <row r="489" customFormat="false" ht="14.25" hidden="false" customHeight="false" outlineLevel="0" collapsed="false">
      <c r="A489" s="47" t="s">
        <v>252</v>
      </c>
      <c r="B489" s="47" t="n">
        <v>35691</v>
      </c>
      <c r="C489" s="47" t="s">
        <v>1298</v>
      </c>
      <c r="D489" s="47" t="s">
        <v>1299</v>
      </c>
      <c r="E489" s="47" t="s">
        <v>8</v>
      </c>
      <c r="F489" s="47" t="s">
        <v>367</v>
      </c>
      <c r="G489" s="97" t="s">
        <v>368</v>
      </c>
    </row>
    <row r="490" customFormat="false" ht="14.25" hidden="false" customHeight="false" outlineLevel="0" collapsed="false">
      <c r="A490" s="47" t="s">
        <v>252</v>
      </c>
      <c r="B490" s="47" t="n">
        <v>35691</v>
      </c>
      <c r="C490" s="47" t="s">
        <v>1300</v>
      </c>
      <c r="D490" s="47" t="s">
        <v>949</v>
      </c>
      <c r="E490" s="47" t="s">
        <v>8</v>
      </c>
      <c r="F490" s="47" t="s">
        <v>367</v>
      </c>
      <c r="G490" s="97" t="s">
        <v>368</v>
      </c>
    </row>
    <row r="491" customFormat="false" ht="14.25" hidden="false" customHeight="false" outlineLevel="0" collapsed="false">
      <c r="A491" s="47" t="s">
        <v>252</v>
      </c>
      <c r="B491" s="47" t="n">
        <v>35691</v>
      </c>
      <c r="C491" s="47" t="s">
        <v>1301</v>
      </c>
      <c r="D491" s="47" t="s">
        <v>1302</v>
      </c>
      <c r="E491" s="47" t="s">
        <v>8</v>
      </c>
      <c r="F491" s="47" t="s">
        <v>367</v>
      </c>
      <c r="G491" s="97" t="s">
        <v>368</v>
      </c>
    </row>
    <row r="492" customFormat="false" ht="14.25" hidden="false" customHeight="false" outlineLevel="0" collapsed="false">
      <c r="A492" s="47" t="s">
        <v>230</v>
      </c>
      <c r="B492" s="47" t="n">
        <v>6</v>
      </c>
      <c r="C492" s="47" t="s">
        <v>1303</v>
      </c>
      <c r="D492" s="47" t="s">
        <v>1304</v>
      </c>
      <c r="E492" s="47" t="s">
        <v>8</v>
      </c>
      <c r="F492" s="47" t="s">
        <v>367</v>
      </c>
      <c r="G492" s="97" t="s">
        <v>368</v>
      </c>
    </row>
    <row r="493" customFormat="false" ht="14.25" hidden="false" customHeight="false" outlineLevel="0" collapsed="false">
      <c r="A493" s="47" t="s">
        <v>230</v>
      </c>
      <c r="B493" s="47" t="n">
        <v>6</v>
      </c>
      <c r="C493" s="47" t="s">
        <v>1305</v>
      </c>
      <c r="D493" s="47" t="s">
        <v>1306</v>
      </c>
      <c r="E493" s="47" t="s">
        <v>8</v>
      </c>
      <c r="F493" s="47" t="s">
        <v>367</v>
      </c>
      <c r="G493" s="97" t="s">
        <v>368</v>
      </c>
    </row>
    <row r="494" customFormat="false" ht="14.25" hidden="false" customHeight="false" outlineLevel="0" collapsed="false">
      <c r="A494" s="47" t="s">
        <v>230</v>
      </c>
      <c r="B494" s="47" t="n">
        <v>6</v>
      </c>
      <c r="C494" s="47" t="s">
        <v>1307</v>
      </c>
      <c r="D494" s="47" t="s">
        <v>1308</v>
      </c>
      <c r="E494" s="47" t="s">
        <v>8</v>
      </c>
      <c r="F494" s="47" t="s">
        <v>367</v>
      </c>
      <c r="G494" s="97" t="s">
        <v>368</v>
      </c>
    </row>
    <row r="495" customFormat="false" ht="14.25" hidden="false" customHeight="false" outlineLevel="0" collapsed="false">
      <c r="A495" s="47" t="s">
        <v>230</v>
      </c>
      <c r="B495" s="47" t="n">
        <v>6</v>
      </c>
      <c r="C495" s="47" t="s">
        <v>1309</v>
      </c>
      <c r="D495" s="47" t="s">
        <v>1310</v>
      </c>
      <c r="E495" s="47" t="s">
        <v>8</v>
      </c>
      <c r="F495" s="47" t="s">
        <v>367</v>
      </c>
      <c r="G495" s="97" t="s">
        <v>368</v>
      </c>
    </row>
    <row r="496" customFormat="false" ht="14.25" hidden="false" customHeight="false" outlineLevel="0" collapsed="false">
      <c r="A496" s="47" t="s">
        <v>230</v>
      </c>
      <c r="B496" s="47" t="n">
        <v>6</v>
      </c>
      <c r="C496" s="47" t="s">
        <v>1311</v>
      </c>
      <c r="D496" s="47" t="s">
        <v>1312</v>
      </c>
      <c r="E496" s="47" t="s">
        <v>8</v>
      </c>
      <c r="F496" s="47" t="s">
        <v>367</v>
      </c>
      <c r="G496" s="97" t="s">
        <v>368</v>
      </c>
    </row>
    <row r="497" customFormat="false" ht="14.25" hidden="false" customHeight="false" outlineLevel="0" collapsed="false">
      <c r="A497" s="47" t="s">
        <v>230</v>
      </c>
      <c r="B497" s="47" t="n">
        <v>6</v>
      </c>
      <c r="C497" s="47" t="s">
        <v>1313</v>
      </c>
      <c r="D497" s="47" t="s">
        <v>1314</v>
      </c>
      <c r="E497" s="47" t="s">
        <v>8</v>
      </c>
      <c r="F497" s="47" t="s">
        <v>367</v>
      </c>
      <c r="G497" s="97" t="s">
        <v>368</v>
      </c>
    </row>
    <row r="498" customFormat="false" ht="14.25" hidden="false" customHeight="false" outlineLevel="0" collapsed="false">
      <c r="A498" s="47" t="s">
        <v>230</v>
      </c>
      <c r="B498" s="47" t="n">
        <v>6</v>
      </c>
      <c r="C498" s="47" t="s">
        <v>1315</v>
      </c>
      <c r="D498" s="47" t="s">
        <v>1316</v>
      </c>
      <c r="E498" s="47" t="s">
        <v>8</v>
      </c>
      <c r="F498" s="47" t="s">
        <v>367</v>
      </c>
      <c r="G498" s="97" t="s">
        <v>368</v>
      </c>
    </row>
    <row r="499" customFormat="false" ht="14.25" hidden="false" customHeight="false" outlineLevel="0" collapsed="false">
      <c r="A499" s="47" t="s">
        <v>230</v>
      </c>
      <c r="B499" s="47" t="n">
        <v>6</v>
      </c>
      <c r="C499" s="47" t="s">
        <v>1317</v>
      </c>
      <c r="D499" s="47" t="s">
        <v>1318</v>
      </c>
      <c r="E499" s="47" t="s">
        <v>8</v>
      </c>
      <c r="F499" s="47" t="s">
        <v>367</v>
      </c>
      <c r="G499" s="97" t="s">
        <v>368</v>
      </c>
    </row>
    <row r="500" customFormat="false" ht="14.25" hidden="false" customHeight="false" outlineLevel="0" collapsed="false">
      <c r="A500" s="47" t="s">
        <v>230</v>
      </c>
      <c r="B500" s="47" t="n">
        <v>6</v>
      </c>
      <c r="C500" s="47" t="s">
        <v>1319</v>
      </c>
      <c r="D500" s="47" t="s">
        <v>1320</v>
      </c>
      <c r="E500" s="47" t="s">
        <v>8</v>
      </c>
      <c r="F500" s="47" t="s">
        <v>374</v>
      </c>
      <c r="G500" s="97" t="s">
        <v>371</v>
      </c>
    </row>
    <row r="501" customFormat="false" ht="14.25" hidden="false" customHeight="false" outlineLevel="0" collapsed="false">
      <c r="A501" s="47" t="s">
        <v>230</v>
      </c>
      <c r="B501" s="47" t="n">
        <v>6</v>
      </c>
      <c r="C501" s="47" t="s">
        <v>1321</v>
      </c>
      <c r="D501" s="47" t="s">
        <v>1322</v>
      </c>
      <c r="E501" s="47" t="s">
        <v>8</v>
      </c>
      <c r="F501" s="47" t="s">
        <v>374</v>
      </c>
      <c r="G501" s="97" t="s">
        <v>371</v>
      </c>
    </row>
    <row r="502" customFormat="false" ht="14.25" hidden="false" customHeight="false" outlineLevel="0" collapsed="false">
      <c r="A502" s="47" t="s">
        <v>230</v>
      </c>
      <c r="B502" s="47" t="n">
        <v>6</v>
      </c>
      <c r="C502" s="47" t="s">
        <v>1323</v>
      </c>
      <c r="D502" s="47" t="s">
        <v>1324</v>
      </c>
      <c r="E502" s="47" t="s">
        <v>8</v>
      </c>
      <c r="F502" s="47" t="s">
        <v>374</v>
      </c>
      <c r="G502" s="97" t="s">
        <v>371</v>
      </c>
    </row>
    <row r="503" customFormat="false" ht="14.25" hidden="false" customHeight="false" outlineLevel="0" collapsed="false">
      <c r="A503" s="47" t="s">
        <v>230</v>
      </c>
      <c r="B503" s="47" t="n">
        <v>6</v>
      </c>
      <c r="C503" s="47" t="s">
        <v>1325</v>
      </c>
      <c r="D503" s="47" t="s">
        <v>1326</v>
      </c>
      <c r="E503" s="47" t="s">
        <v>8</v>
      </c>
      <c r="F503" s="47" t="s">
        <v>374</v>
      </c>
      <c r="G503" s="97" t="s">
        <v>371</v>
      </c>
    </row>
    <row r="504" customFormat="false" ht="14.25" hidden="false" customHeight="false" outlineLevel="0" collapsed="false">
      <c r="A504" s="47" t="s">
        <v>230</v>
      </c>
      <c r="B504" s="47" t="n">
        <v>6</v>
      </c>
      <c r="C504" s="47" t="s">
        <v>258</v>
      </c>
      <c r="D504" s="47" t="s">
        <v>1327</v>
      </c>
      <c r="E504" s="47" t="s">
        <v>8</v>
      </c>
      <c r="F504" s="47" t="s">
        <v>374</v>
      </c>
      <c r="G504" s="97" t="s">
        <v>371</v>
      </c>
    </row>
    <row r="505" customFormat="false" ht="14.25" hidden="false" customHeight="false" outlineLevel="0" collapsed="false">
      <c r="A505" s="47" t="s">
        <v>1328</v>
      </c>
      <c r="B505" s="47" t="n">
        <v>771770</v>
      </c>
      <c r="C505" s="47" t="s">
        <v>1329</v>
      </c>
      <c r="D505" s="47" t="s">
        <v>1330</v>
      </c>
      <c r="E505" s="47" t="s">
        <v>8</v>
      </c>
      <c r="F505" s="47" t="s">
        <v>374</v>
      </c>
      <c r="G505" s="97" t="s">
        <v>371</v>
      </c>
    </row>
    <row r="506" customFormat="false" ht="14.25" hidden="false" customHeight="false" outlineLevel="0" collapsed="false">
      <c r="A506" s="47" t="s">
        <v>1328</v>
      </c>
      <c r="B506" s="47" t="n">
        <v>771770</v>
      </c>
      <c r="C506" s="47" t="s">
        <v>1331</v>
      </c>
      <c r="D506" s="47" t="s">
        <v>1332</v>
      </c>
      <c r="E506" s="47" t="s">
        <v>8</v>
      </c>
      <c r="F506" s="47" t="s">
        <v>374</v>
      </c>
      <c r="G506" s="97" t="s">
        <v>392</v>
      </c>
    </row>
    <row r="507" customFormat="false" ht="14.25" hidden="false" customHeight="false" outlineLevel="0" collapsed="false">
      <c r="A507" s="47" t="s">
        <v>1328</v>
      </c>
      <c r="B507" s="47" t="n">
        <v>771770</v>
      </c>
      <c r="C507" s="47" t="s">
        <v>1333</v>
      </c>
      <c r="D507" s="47" t="s">
        <v>1334</v>
      </c>
      <c r="E507" s="47" t="s">
        <v>8</v>
      </c>
      <c r="F507" s="47" t="s">
        <v>367</v>
      </c>
      <c r="G507" s="97" t="s">
        <v>368</v>
      </c>
    </row>
    <row r="508" customFormat="false" ht="14.25" hidden="false" customHeight="false" outlineLevel="0" collapsed="false">
      <c r="A508" s="47" t="s">
        <v>1328</v>
      </c>
      <c r="B508" s="47" t="n">
        <v>771770</v>
      </c>
      <c r="C508" s="47" t="s">
        <v>1335</v>
      </c>
      <c r="D508" s="47" t="s">
        <v>1336</v>
      </c>
      <c r="E508" s="47" t="s">
        <v>8</v>
      </c>
      <c r="F508" s="47" t="s">
        <v>374</v>
      </c>
      <c r="G508" s="97" t="s">
        <v>392</v>
      </c>
    </row>
    <row r="509" customFormat="false" ht="14.25" hidden="false" customHeight="false" outlineLevel="0" collapsed="false">
      <c r="A509" s="47" t="s">
        <v>1328</v>
      </c>
      <c r="B509" s="47" t="n">
        <v>771770</v>
      </c>
      <c r="C509" s="47" t="s">
        <v>1337</v>
      </c>
      <c r="D509" s="47" t="s">
        <v>1338</v>
      </c>
      <c r="E509" s="47" t="s">
        <v>8</v>
      </c>
      <c r="F509" s="47" t="s">
        <v>367</v>
      </c>
      <c r="G509" s="97" t="s">
        <v>368</v>
      </c>
    </row>
    <row r="510" customFormat="false" ht="14.25" hidden="false" customHeight="false" outlineLevel="0" collapsed="false">
      <c r="A510" s="47" t="s">
        <v>1328</v>
      </c>
      <c r="B510" s="47" t="n">
        <v>771770</v>
      </c>
      <c r="C510" s="47" t="s">
        <v>1339</v>
      </c>
      <c r="D510" s="47" t="s">
        <v>1340</v>
      </c>
      <c r="E510" s="47" t="s">
        <v>8</v>
      </c>
      <c r="F510" s="47" t="s">
        <v>374</v>
      </c>
      <c r="G510" s="97" t="s">
        <v>371</v>
      </c>
    </row>
    <row r="511" customFormat="false" ht="14.25" hidden="false" customHeight="false" outlineLevel="0" collapsed="false">
      <c r="A511" s="47" t="s">
        <v>1328</v>
      </c>
      <c r="B511" s="47" t="n">
        <v>771770</v>
      </c>
      <c r="C511" s="47" t="s">
        <v>1341</v>
      </c>
      <c r="D511" s="47" t="s">
        <v>1342</v>
      </c>
      <c r="E511" s="47" t="s">
        <v>8</v>
      </c>
      <c r="F511" s="47" t="s">
        <v>374</v>
      </c>
      <c r="G511" s="97" t="s">
        <v>371</v>
      </c>
    </row>
    <row r="512" customFormat="false" ht="14.25" hidden="false" customHeight="false" outlineLevel="0" collapsed="false">
      <c r="A512" s="47" t="s">
        <v>1328</v>
      </c>
      <c r="B512" s="47" t="n">
        <v>771770</v>
      </c>
      <c r="C512" s="47" t="s">
        <v>1343</v>
      </c>
      <c r="D512" s="47" t="s">
        <v>1344</v>
      </c>
      <c r="E512" s="47" t="s">
        <v>8</v>
      </c>
      <c r="F512" s="47" t="s">
        <v>374</v>
      </c>
      <c r="G512" s="97" t="s">
        <v>381</v>
      </c>
    </row>
    <row r="513" customFormat="false" ht="14.25" hidden="false" customHeight="false" outlineLevel="0" collapsed="false">
      <c r="A513" s="47" t="s">
        <v>1328</v>
      </c>
      <c r="B513" s="47" t="n">
        <v>771770</v>
      </c>
      <c r="C513" s="47" t="s">
        <v>1345</v>
      </c>
      <c r="D513" s="47" t="s">
        <v>1346</v>
      </c>
      <c r="E513" s="47" t="s">
        <v>8</v>
      </c>
      <c r="F513" s="47" t="s">
        <v>374</v>
      </c>
      <c r="G513" s="97" t="s">
        <v>371</v>
      </c>
    </row>
    <row r="514" customFormat="false" ht="14.25" hidden="false" customHeight="false" outlineLevel="0" collapsed="false">
      <c r="A514" s="47" t="s">
        <v>1328</v>
      </c>
      <c r="B514" s="47" t="n">
        <v>771770</v>
      </c>
      <c r="C514" s="47" t="s">
        <v>1347</v>
      </c>
      <c r="D514" s="47" t="s">
        <v>1348</v>
      </c>
      <c r="E514" s="47" t="s">
        <v>8</v>
      </c>
      <c r="F514" s="47" t="s">
        <v>374</v>
      </c>
      <c r="G514" s="97" t="s">
        <v>381</v>
      </c>
    </row>
    <row r="515" customFormat="false" ht="14.25" hidden="false" customHeight="false" outlineLevel="0" collapsed="false">
      <c r="A515" s="47" t="s">
        <v>1328</v>
      </c>
      <c r="B515" s="47" t="n">
        <v>771770</v>
      </c>
      <c r="C515" s="47" t="s">
        <v>1349</v>
      </c>
      <c r="D515" s="47" t="s">
        <v>1350</v>
      </c>
      <c r="E515" s="47" t="s">
        <v>8</v>
      </c>
      <c r="F515" s="47" t="s">
        <v>367</v>
      </c>
      <c r="G515" s="97" t="s">
        <v>368</v>
      </c>
    </row>
    <row r="516" customFormat="false" ht="14.25" hidden="false" customHeight="false" outlineLevel="0" collapsed="false">
      <c r="A516" s="47" t="s">
        <v>1328</v>
      </c>
      <c r="B516" s="47" t="n">
        <v>771770</v>
      </c>
      <c r="C516" s="47" t="s">
        <v>1351</v>
      </c>
      <c r="D516" s="47" t="s">
        <v>1352</v>
      </c>
      <c r="E516" s="47" t="s">
        <v>8</v>
      </c>
      <c r="F516" s="47" t="s">
        <v>374</v>
      </c>
      <c r="G516" s="97" t="s">
        <v>392</v>
      </c>
    </row>
    <row r="517" customFormat="false" ht="14.25" hidden="false" customHeight="false" outlineLevel="0" collapsed="false">
      <c r="A517" s="47" t="s">
        <v>1328</v>
      </c>
      <c r="B517" s="47" t="n">
        <v>771770</v>
      </c>
      <c r="C517" s="47" t="s">
        <v>1353</v>
      </c>
      <c r="D517" s="47" t="s">
        <v>1354</v>
      </c>
      <c r="E517" s="47" t="s">
        <v>8</v>
      </c>
      <c r="F517" s="47" t="s">
        <v>367</v>
      </c>
      <c r="G517" s="97" t="s">
        <v>368</v>
      </c>
    </row>
    <row r="518" customFormat="false" ht="14.25" hidden="false" customHeight="false" outlineLevel="0" collapsed="false">
      <c r="A518" s="47" t="s">
        <v>1328</v>
      </c>
      <c r="B518" s="47" t="n">
        <v>771770</v>
      </c>
      <c r="C518" s="47" t="s">
        <v>1355</v>
      </c>
      <c r="D518" s="47" t="s">
        <v>1356</v>
      </c>
      <c r="E518" s="47" t="s">
        <v>8</v>
      </c>
      <c r="F518" s="47" t="s">
        <v>374</v>
      </c>
      <c r="G518" s="97" t="s">
        <v>392</v>
      </c>
    </row>
    <row r="519" customFormat="false" ht="14.25" hidden="false" customHeight="false" outlineLevel="0" collapsed="false">
      <c r="A519" s="47" t="s">
        <v>1328</v>
      </c>
      <c r="B519" s="47" t="n">
        <v>771770</v>
      </c>
      <c r="C519" s="47" t="s">
        <v>1357</v>
      </c>
      <c r="D519" s="47" t="s">
        <v>1358</v>
      </c>
      <c r="E519" s="47" t="s">
        <v>8</v>
      </c>
      <c r="F519" s="47" t="s">
        <v>374</v>
      </c>
      <c r="G519" s="97" t="s">
        <v>371</v>
      </c>
    </row>
    <row r="520" customFormat="false" ht="14.25" hidden="false" customHeight="false" outlineLevel="0" collapsed="false">
      <c r="A520" s="47" t="s">
        <v>1328</v>
      </c>
      <c r="B520" s="47" t="n">
        <v>771770</v>
      </c>
      <c r="C520" s="47" t="s">
        <v>1359</v>
      </c>
      <c r="D520" s="47" t="s">
        <v>1360</v>
      </c>
      <c r="E520" s="47" t="s">
        <v>8</v>
      </c>
      <c r="F520" s="47" t="s">
        <v>374</v>
      </c>
      <c r="G520" s="97" t="s">
        <v>392</v>
      </c>
    </row>
    <row r="521" customFormat="false" ht="14.25" hidden="false" customHeight="false" outlineLevel="0" collapsed="false">
      <c r="A521" s="47" t="s">
        <v>1328</v>
      </c>
      <c r="B521" s="47" t="n">
        <v>771770</v>
      </c>
      <c r="C521" s="47" t="s">
        <v>1361</v>
      </c>
      <c r="D521" s="47" t="s">
        <v>1362</v>
      </c>
      <c r="E521" s="47" t="s">
        <v>8</v>
      </c>
      <c r="F521" s="47" t="s">
        <v>367</v>
      </c>
      <c r="G521" s="97" t="s">
        <v>368</v>
      </c>
    </row>
    <row r="522" customFormat="false" ht="14.25" hidden="false" customHeight="false" outlineLevel="0" collapsed="false">
      <c r="A522" s="47" t="s">
        <v>1328</v>
      </c>
      <c r="B522" s="47" t="n">
        <v>771770</v>
      </c>
      <c r="C522" s="47" t="s">
        <v>1363</v>
      </c>
      <c r="D522" s="47" t="s">
        <v>1364</v>
      </c>
      <c r="E522" s="47" t="s">
        <v>8</v>
      </c>
      <c r="F522" s="47" t="s">
        <v>374</v>
      </c>
      <c r="G522" s="97" t="s">
        <v>371</v>
      </c>
    </row>
    <row r="523" customFormat="false" ht="14.25" hidden="false" customHeight="false" outlineLevel="0" collapsed="false">
      <c r="A523" s="47" t="s">
        <v>1328</v>
      </c>
      <c r="B523" s="47" t="n">
        <v>771770</v>
      </c>
      <c r="C523" s="47" t="s">
        <v>1365</v>
      </c>
      <c r="D523" s="47" t="s">
        <v>1366</v>
      </c>
      <c r="E523" s="47" t="s">
        <v>8</v>
      </c>
      <c r="F523" s="47" t="s">
        <v>367</v>
      </c>
      <c r="G523" s="97" t="s">
        <v>368</v>
      </c>
    </row>
    <row r="524" customFormat="false" ht="14.25" hidden="false" customHeight="false" outlineLevel="0" collapsed="false">
      <c r="A524" s="47" t="s">
        <v>1328</v>
      </c>
      <c r="B524" s="47" t="n">
        <v>771770</v>
      </c>
      <c r="C524" s="47" t="s">
        <v>1367</v>
      </c>
      <c r="D524" s="47" t="s">
        <v>1368</v>
      </c>
      <c r="E524" s="47" t="s">
        <v>8</v>
      </c>
      <c r="F524" s="47" t="s">
        <v>367</v>
      </c>
      <c r="G524" s="97" t="s">
        <v>368</v>
      </c>
    </row>
    <row r="525" customFormat="false" ht="14.25" hidden="false" customHeight="false" outlineLevel="0" collapsed="false">
      <c r="A525" s="47" t="s">
        <v>1328</v>
      </c>
      <c r="B525" s="47" t="n">
        <v>771770</v>
      </c>
      <c r="C525" s="47" t="s">
        <v>1369</v>
      </c>
      <c r="D525" s="47" t="s">
        <v>877</v>
      </c>
      <c r="E525" s="47" t="s">
        <v>8</v>
      </c>
      <c r="F525" s="47" t="s">
        <v>367</v>
      </c>
      <c r="G525" s="97" t="s">
        <v>368</v>
      </c>
    </row>
    <row r="526" customFormat="false" ht="14.25" hidden="false" customHeight="false" outlineLevel="0" collapsed="false">
      <c r="A526" s="47" t="s">
        <v>1328</v>
      </c>
      <c r="B526" s="47" t="n">
        <v>771770</v>
      </c>
      <c r="C526" s="47" t="s">
        <v>1370</v>
      </c>
      <c r="D526" s="47" t="s">
        <v>1371</v>
      </c>
      <c r="E526" s="47" t="s">
        <v>8</v>
      </c>
      <c r="F526" s="47" t="s">
        <v>374</v>
      </c>
      <c r="G526" s="97" t="s">
        <v>392</v>
      </c>
    </row>
    <row r="527" customFormat="false" ht="14.25" hidden="false" customHeight="false" outlineLevel="0" collapsed="false">
      <c r="A527" s="47" t="s">
        <v>1328</v>
      </c>
      <c r="B527" s="47" t="n">
        <v>771770</v>
      </c>
      <c r="C527" s="47" t="s">
        <v>1372</v>
      </c>
      <c r="D527" s="47" t="s">
        <v>1373</v>
      </c>
      <c r="E527" s="47" t="s">
        <v>8</v>
      </c>
      <c r="F527" s="47" t="s">
        <v>374</v>
      </c>
      <c r="G527" s="97" t="s">
        <v>381</v>
      </c>
    </row>
    <row r="528" customFormat="false" ht="14.25" hidden="false" customHeight="false" outlineLevel="0" collapsed="false">
      <c r="A528" s="47" t="s">
        <v>1328</v>
      </c>
      <c r="B528" s="47" t="n">
        <v>771770</v>
      </c>
      <c r="C528" s="47" t="s">
        <v>1374</v>
      </c>
      <c r="D528" s="47" t="s">
        <v>1375</v>
      </c>
      <c r="E528" s="47" t="s">
        <v>8</v>
      </c>
      <c r="F528" s="47" t="s">
        <v>367</v>
      </c>
      <c r="G528" s="97" t="s">
        <v>368</v>
      </c>
    </row>
    <row r="529" customFormat="false" ht="14.25" hidden="false" customHeight="false" outlineLevel="0" collapsed="false">
      <c r="A529" s="47" t="s">
        <v>1328</v>
      </c>
      <c r="B529" s="47" t="n">
        <v>771770</v>
      </c>
      <c r="C529" s="47" t="s">
        <v>1376</v>
      </c>
      <c r="D529" s="47" t="s">
        <v>1377</v>
      </c>
      <c r="E529" s="47" t="s">
        <v>8</v>
      </c>
      <c r="F529" s="47" t="s">
        <v>367</v>
      </c>
      <c r="G529" s="97" t="s">
        <v>368</v>
      </c>
    </row>
    <row r="530" customFormat="false" ht="14.25" hidden="false" customHeight="false" outlineLevel="0" collapsed="false">
      <c r="A530" s="47" t="s">
        <v>1328</v>
      </c>
      <c r="B530" s="47" t="n">
        <v>771770</v>
      </c>
      <c r="C530" s="47" t="s">
        <v>1378</v>
      </c>
      <c r="D530" s="47" t="s">
        <v>1379</v>
      </c>
      <c r="E530" s="47" t="s">
        <v>8</v>
      </c>
      <c r="F530" s="47" t="s">
        <v>367</v>
      </c>
      <c r="G530" s="97" t="s">
        <v>368</v>
      </c>
    </row>
    <row r="531" customFormat="false" ht="14.25" hidden="false" customHeight="false" outlineLevel="0" collapsed="false">
      <c r="A531" s="47" t="s">
        <v>1328</v>
      </c>
      <c r="B531" s="47" t="n">
        <v>771770</v>
      </c>
      <c r="C531" s="47" t="s">
        <v>1380</v>
      </c>
      <c r="D531" s="47" t="s">
        <v>1381</v>
      </c>
      <c r="E531" s="47" t="s">
        <v>8</v>
      </c>
      <c r="F531" s="47" t="s">
        <v>367</v>
      </c>
      <c r="G531" s="97" t="s">
        <v>368</v>
      </c>
    </row>
    <row r="532" customFormat="false" ht="14.25" hidden="false" customHeight="false" outlineLevel="0" collapsed="false">
      <c r="A532" s="47" t="s">
        <v>1328</v>
      </c>
      <c r="B532" s="47" t="n">
        <v>771770</v>
      </c>
      <c r="C532" s="47" t="s">
        <v>1382</v>
      </c>
      <c r="D532" s="47" t="s">
        <v>1383</v>
      </c>
      <c r="E532" s="47" t="s">
        <v>8</v>
      </c>
      <c r="F532" s="47" t="s">
        <v>367</v>
      </c>
      <c r="G532" s="97" t="s">
        <v>368</v>
      </c>
    </row>
    <row r="533" customFormat="false" ht="14.25" hidden="false" customHeight="false" outlineLevel="0" collapsed="false">
      <c r="A533" s="47" t="s">
        <v>1328</v>
      </c>
      <c r="B533" s="47" t="n">
        <v>771770</v>
      </c>
      <c r="C533" s="47" t="s">
        <v>1384</v>
      </c>
      <c r="D533" s="47" t="s">
        <v>1385</v>
      </c>
      <c r="E533" s="47" t="s">
        <v>8</v>
      </c>
      <c r="F533" s="47" t="s">
        <v>367</v>
      </c>
      <c r="G533" s="97" t="s">
        <v>368</v>
      </c>
    </row>
    <row r="534" customFormat="false" ht="14.25" hidden="false" customHeight="false" outlineLevel="0" collapsed="false">
      <c r="A534" s="47" t="s">
        <v>1328</v>
      </c>
      <c r="B534" s="47" t="n">
        <v>771770</v>
      </c>
      <c r="C534" s="47" t="s">
        <v>1386</v>
      </c>
      <c r="D534" s="47" t="s">
        <v>1387</v>
      </c>
      <c r="E534" s="47" t="s">
        <v>8</v>
      </c>
      <c r="F534" s="47" t="s">
        <v>367</v>
      </c>
      <c r="G534" s="97" t="s">
        <v>368</v>
      </c>
    </row>
    <row r="535" customFormat="false" ht="14.25" hidden="false" customHeight="false" outlineLevel="0" collapsed="false">
      <c r="A535" s="47" t="s">
        <v>1328</v>
      </c>
      <c r="B535" s="47" t="n">
        <v>771770</v>
      </c>
      <c r="C535" s="47" t="s">
        <v>1388</v>
      </c>
      <c r="D535" s="47" t="s">
        <v>1389</v>
      </c>
      <c r="E535" s="47" t="s">
        <v>8</v>
      </c>
      <c r="F535" s="47" t="s">
        <v>367</v>
      </c>
      <c r="G535" s="97" t="s">
        <v>368</v>
      </c>
    </row>
    <row r="536" customFormat="false" ht="14.25" hidden="false" customHeight="false" outlineLevel="0" collapsed="false">
      <c r="A536" s="47" t="s">
        <v>1328</v>
      </c>
      <c r="B536" s="47" t="n">
        <v>771770</v>
      </c>
      <c r="C536" s="47" t="s">
        <v>1390</v>
      </c>
      <c r="D536" s="47" t="s">
        <v>1391</v>
      </c>
      <c r="E536" s="47" t="s">
        <v>8</v>
      </c>
      <c r="F536" s="47" t="s">
        <v>367</v>
      </c>
      <c r="G536" s="97" t="s">
        <v>368</v>
      </c>
    </row>
    <row r="537" customFormat="false" ht="14.25" hidden="false" customHeight="false" outlineLevel="0" collapsed="false">
      <c r="A537" s="47" t="s">
        <v>1328</v>
      </c>
      <c r="B537" s="47" t="n">
        <v>771770</v>
      </c>
      <c r="C537" s="47" t="s">
        <v>1392</v>
      </c>
      <c r="D537" s="47" t="s">
        <v>1393</v>
      </c>
      <c r="E537" s="47" t="s">
        <v>8</v>
      </c>
      <c r="F537" s="47" t="s">
        <v>367</v>
      </c>
      <c r="G537" s="97" t="s">
        <v>368</v>
      </c>
    </row>
    <row r="538" customFormat="false" ht="14.25" hidden="false" customHeight="false" outlineLevel="0" collapsed="false">
      <c r="A538" s="47" t="s">
        <v>1328</v>
      </c>
      <c r="B538" s="47" t="n">
        <v>771770</v>
      </c>
      <c r="C538" s="47" t="s">
        <v>1394</v>
      </c>
      <c r="D538" s="47" t="s">
        <v>1395</v>
      </c>
      <c r="E538" s="47" t="s">
        <v>8</v>
      </c>
      <c r="F538" s="47" t="s">
        <v>367</v>
      </c>
      <c r="G538" s="97" t="s">
        <v>368</v>
      </c>
    </row>
    <row r="539" customFormat="false" ht="14.25" hidden="false" customHeight="false" outlineLevel="0" collapsed="false">
      <c r="A539" s="47" t="s">
        <v>1328</v>
      </c>
      <c r="B539" s="47" t="n">
        <v>771770</v>
      </c>
      <c r="C539" s="47" t="s">
        <v>1396</v>
      </c>
      <c r="D539" s="47" t="s">
        <v>1397</v>
      </c>
      <c r="E539" s="47" t="s">
        <v>8</v>
      </c>
      <c r="F539" s="47" t="s">
        <v>367</v>
      </c>
      <c r="G539" s="97" t="s">
        <v>368</v>
      </c>
    </row>
    <row r="540" customFormat="false" ht="14.25" hidden="false" customHeight="false" outlineLevel="0" collapsed="false">
      <c r="A540" s="47" t="s">
        <v>1328</v>
      </c>
      <c r="B540" s="47" t="n">
        <v>771770</v>
      </c>
      <c r="C540" s="47" t="s">
        <v>1398</v>
      </c>
      <c r="D540" s="47" t="s">
        <v>1399</v>
      </c>
      <c r="E540" s="47" t="s">
        <v>8</v>
      </c>
      <c r="F540" s="47" t="s">
        <v>367</v>
      </c>
      <c r="G540" s="97" t="s">
        <v>368</v>
      </c>
    </row>
    <row r="541" customFormat="false" ht="14.25" hidden="false" customHeight="false" outlineLevel="0" collapsed="false">
      <c r="A541" s="47" t="s">
        <v>1328</v>
      </c>
      <c r="B541" s="47" t="n">
        <v>771770</v>
      </c>
      <c r="C541" s="47" t="s">
        <v>1400</v>
      </c>
      <c r="D541" s="47" t="s">
        <v>1401</v>
      </c>
      <c r="E541" s="47" t="s">
        <v>8</v>
      </c>
      <c r="F541" s="47" t="s">
        <v>374</v>
      </c>
      <c r="G541" s="97" t="s">
        <v>392</v>
      </c>
    </row>
    <row r="542" customFormat="false" ht="14.25" hidden="false" customHeight="false" outlineLevel="0" collapsed="false">
      <c r="A542" s="47" t="s">
        <v>1402</v>
      </c>
      <c r="B542" s="47" t="n">
        <v>328451</v>
      </c>
      <c r="C542" s="47" t="s">
        <v>1403</v>
      </c>
      <c r="D542" s="47" t="s">
        <v>1404</v>
      </c>
      <c r="E542" s="47" t="s">
        <v>8</v>
      </c>
      <c r="F542" s="47" t="s">
        <v>374</v>
      </c>
      <c r="G542" s="97" t="s">
        <v>371</v>
      </c>
    </row>
    <row r="543" customFormat="false" ht="14.25" hidden="false" customHeight="false" outlineLevel="0" collapsed="false">
      <c r="A543" s="47" t="s">
        <v>1402</v>
      </c>
      <c r="B543" s="47" t="n">
        <v>328451</v>
      </c>
      <c r="C543" s="47" t="s">
        <v>1405</v>
      </c>
      <c r="D543" s="47" t="s">
        <v>1406</v>
      </c>
      <c r="E543" s="47" t="s">
        <v>8</v>
      </c>
      <c r="F543" s="47" t="s">
        <v>374</v>
      </c>
      <c r="G543" s="97" t="s">
        <v>381</v>
      </c>
    </row>
    <row r="544" customFormat="false" ht="14.25" hidden="false" customHeight="false" outlineLevel="0" collapsed="false">
      <c r="A544" s="47" t="s">
        <v>1402</v>
      </c>
      <c r="B544" s="47" t="n">
        <v>328451</v>
      </c>
      <c r="C544" s="47" t="s">
        <v>1407</v>
      </c>
      <c r="D544" s="47" t="s">
        <v>1408</v>
      </c>
      <c r="E544" s="47" t="s">
        <v>8</v>
      </c>
      <c r="F544" s="47" t="s">
        <v>374</v>
      </c>
      <c r="G544" s="97" t="s">
        <v>381</v>
      </c>
    </row>
    <row r="545" customFormat="false" ht="14.25" hidden="false" customHeight="false" outlineLevel="0" collapsed="false">
      <c r="A545" s="47" t="s">
        <v>1402</v>
      </c>
      <c r="B545" s="47" t="n">
        <v>328451</v>
      </c>
      <c r="C545" s="47" t="s">
        <v>80</v>
      </c>
      <c r="D545" s="47" t="s">
        <v>1409</v>
      </c>
      <c r="E545" s="47" t="s">
        <v>8</v>
      </c>
      <c r="F545" s="47" t="s">
        <v>367</v>
      </c>
      <c r="G545" s="97" t="s">
        <v>368</v>
      </c>
    </row>
    <row r="546" customFormat="false" ht="14.25" hidden="false" customHeight="false" outlineLevel="0" collapsed="false">
      <c r="A546" s="47" t="s">
        <v>1402</v>
      </c>
      <c r="B546" s="47" t="n">
        <v>328451</v>
      </c>
      <c r="C546" s="47" t="s">
        <v>79</v>
      </c>
      <c r="D546" s="47" t="s">
        <v>1410</v>
      </c>
      <c r="E546" s="47" t="s">
        <v>8</v>
      </c>
      <c r="F546" s="47" t="s">
        <v>367</v>
      </c>
      <c r="G546" s="97" t="s">
        <v>368</v>
      </c>
    </row>
    <row r="547" customFormat="false" ht="14.25" hidden="false" customHeight="false" outlineLevel="0" collapsed="false">
      <c r="A547" s="47" t="s">
        <v>1402</v>
      </c>
      <c r="B547" s="47" t="n">
        <v>328451</v>
      </c>
      <c r="C547" s="47" t="s">
        <v>1411</v>
      </c>
      <c r="D547" s="47" t="s">
        <v>1412</v>
      </c>
      <c r="E547" s="47" t="s">
        <v>8</v>
      </c>
      <c r="F547" s="47" t="s">
        <v>367</v>
      </c>
      <c r="G547" s="97" t="s">
        <v>368</v>
      </c>
    </row>
    <row r="548" customFormat="false" ht="14.25" hidden="false" customHeight="false" outlineLevel="0" collapsed="false">
      <c r="A548" s="47" t="s">
        <v>1402</v>
      </c>
      <c r="B548" s="47" t="n">
        <v>328451</v>
      </c>
      <c r="C548" s="47" t="s">
        <v>1413</v>
      </c>
      <c r="D548" s="47" t="s">
        <v>1414</v>
      </c>
      <c r="E548" s="47" t="s">
        <v>8</v>
      </c>
      <c r="F548" s="47" t="s">
        <v>367</v>
      </c>
      <c r="G548" s="97" t="s">
        <v>368</v>
      </c>
    </row>
    <row r="549" customFormat="false" ht="14.25" hidden="false" customHeight="false" outlineLevel="0" collapsed="false">
      <c r="A549" s="47" t="s">
        <v>1402</v>
      </c>
      <c r="B549" s="47" t="n">
        <v>328451</v>
      </c>
      <c r="C549" s="47" t="s">
        <v>1415</v>
      </c>
      <c r="D549" s="47" t="s">
        <v>1416</v>
      </c>
      <c r="E549" s="47" t="s">
        <v>8</v>
      </c>
      <c r="F549" s="47" t="s">
        <v>367</v>
      </c>
      <c r="G549" s="97" t="s">
        <v>368</v>
      </c>
    </row>
    <row r="550" customFormat="false" ht="14.25" hidden="false" customHeight="false" outlineLevel="0" collapsed="false">
      <c r="A550" s="47" t="s">
        <v>1402</v>
      </c>
      <c r="B550" s="47" t="n">
        <v>328451</v>
      </c>
      <c r="C550" s="47" t="s">
        <v>1417</v>
      </c>
      <c r="D550" s="47" t="s">
        <v>1418</v>
      </c>
      <c r="E550" s="47" t="s">
        <v>8</v>
      </c>
      <c r="F550" s="47" t="s">
        <v>374</v>
      </c>
      <c r="G550" s="97" t="s">
        <v>371</v>
      </c>
    </row>
    <row r="551" customFormat="false" ht="14.25" hidden="false" customHeight="false" outlineLevel="0" collapsed="false">
      <c r="A551" s="47" t="s">
        <v>1402</v>
      </c>
      <c r="B551" s="47" t="n">
        <v>328451</v>
      </c>
      <c r="C551" s="47" t="s">
        <v>1419</v>
      </c>
      <c r="D551" s="47" t="s">
        <v>1420</v>
      </c>
      <c r="E551" s="47" t="s">
        <v>8</v>
      </c>
      <c r="F551" s="47" t="s">
        <v>374</v>
      </c>
      <c r="G551" s="97" t="s">
        <v>392</v>
      </c>
    </row>
    <row r="552" customFormat="false" ht="14.25" hidden="false" customHeight="false" outlineLevel="0" collapsed="false">
      <c r="A552" s="47" t="s">
        <v>1402</v>
      </c>
      <c r="B552" s="47" t="n">
        <v>328451</v>
      </c>
      <c r="C552" s="47" t="s">
        <v>1421</v>
      </c>
      <c r="D552" s="47" t="s">
        <v>1422</v>
      </c>
      <c r="E552" s="47" t="s">
        <v>8</v>
      </c>
      <c r="F552" s="47" t="s">
        <v>374</v>
      </c>
      <c r="G552" s="97" t="s">
        <v>392</v>
      </c>
    </row>
    <row r="553" customFormat="false" ht="14.25" hidden="false" customHeight="false" outlineLevel="0" collapsed="false">
      <c r="A553" s="98" t="s">
        <v>96</v>
      </c>
      <c r="B553" s="98" t="n">
        <v>712115121</v>
      </c>
      <c r="C553" s="98" t="s">
        <v>1423</v>
      </c>
      <c r="D553" s="98" t="s">
        <v>1424</v>
      </c>
      <c r="E553" s="98" t="s">
        <v>8</v>
      </c>
      <c r="F553" s="98" t="s">
        <v>367</v>
      </c>
      <c r="G553" s="97" t="s">
        <v>368</v>
      </c>
    </row>
    <row r="554" customFormat="false" ht="14.25" hidden="false" customHeight="false" outlineLevel="0" collapsed="false">
      <c r="A554" s="98" t="s">
        <v>96</v>
      </c>
      <c r="B554" s="98" t="n">
        <v>712115121</v>
      </c>
      <c r="C554" s="98" t="s">
        <v>1425</v>
      </c>
      <c r="D554" s="98" t="s">
        <v>1426</v>
      </c>
      <c r="E554" s="98" t="s">
        <v>1427</v>
      </c>
      <c r="F554" s="98" t="s">
        <v>374</v>
      </c>
      <c r="G554" s="97" t="s">
        <v>748</v>
      </c>
    </row>
    <row r="555" customFormat="false" ht="14.25" hidden="false" customHeight="false" outlineLevel="0" collapsed="false">
      <c r="A555" s="98" t="s">
        <v>96</v>
      </c>
      <c r="B555" s="98" t="n">
        <v>712115121</v>
      </c>
      <c r="C555" s="98" t="s">
        <v>1428</v>
      </c>
      <c r="D555" s="98" t="s">
        <v>1429</v>
      </c>
      <c r="E555" s="98" t="s">
        <v>8</v>
      </c>
      <c r="F555" s="98" t="s">
        <v>367</v>
      </c>
      <c r="G555" s="97" t="s">
        <v>368</v>
      </c>
    </row>
    <row r="556" customFormat="false" ht="14.25" hidden="false" customHeight="false" outlineLevel="0" collapsed="false">
      <c r="A556" s="98" t="s">
        <v>96</v>
      </c>
      <c r="B556" s="98" t="n">
        <v>712115121</v>
      </c>
      <c r="C556" s="47" t="s">
        <v>1430</v>
      </c>
      <c r="D556" s="47"/>
      <c r="E556" s="47" t="s">
        <v>8</v>
      </c>
      <c r="F556" s="47" t="s">
        <v>367</v>
      </c>
      <c r="G556" s="97" t="s">
        <v>368</v>
      </c>
    </row>
    <row r="557" customFormat="false" ht="14.25" hidden="false" customHeight="false" outlineLevel="0" collapsed="false">
      <c r="A557" s="98" t="s">
        <v>96</v>
      </c>
      <c r="B557" s="98" t="n">
        <v>712115121</v>
      </c>
      <c r="C557" s="98" t="s">
        <v>1431</v>
      </c>
      <c r="D557" s="98" t="s">
        <v>1432</v>
      </c>
      <c r="E557" s="98" t="s">
        <v>8</v>
      </c>
      <c r="F557" s="98" t="s">
        <v>367</v>
      </c>
      <c r="G557" s="97" t="s">
        <v>368</v>
      </c>
    </row>
    <row r="558" customFormat="false" ht="14.25" hidden="false" customHeight="false" outlineLevel="0" collapsed="false">
      <c r="A558" s="98" t="s">
        <v>96</v>
      </c>
      <c r="B558" s="98" t="n">
        <v>712115121</v>
      </c>
      <c r="C558" s="98" t="s">
        <v>1433</v>
      </c>
      <c r="D558" s="98" t="s">
        <v>1434</v>
      </c>
      <c r="E558" s="98" t="s">
        <v>8</v>
      </c>
      <c r="F558" s="98" t="s">
        <v>374</v>
      </c>
      <c r="G558" s="97" t="s">
        <v>371</v>
      </c>
    </row>
    <row r="559" customFormat="false" ht="14.25" hidden="false" customHeight="false" outlineLevel="0" collapsed="false">
      <c r="A559" s="98" t="s">
        <v>96</v>
      </c>
      <c r="B559" s="98" t="n">
        <v>712115121</v>
      </c>
      <c r="C559" s="47" t="s">
        <v>1435</v>
      </c>
      <c r="D559" s="47"/>
      <c r="E559" s="47" t="s">
        <v>8</v>
      </c>
      <c r="F559" s="47" t="s">
        <v>367</v>
      </c>
      <c r="G559" s="97" t="s">
        <v>368</v>
      </c>
    </row>
    <row r="560" customFormat="false" ht="14.25" hidden="false" customHeight="false" outlineLevel="0" collapsed="false">
      <c r="A560" s="98" t="s">
        <v>96</v>
      </c>
      <c r="B560" s="98" t="n">
        <v>712115121</v>
      </c>
      <c r="C560" s="98" t="s">
        <v>1436</v>
      </c>
      <c r="D560" s="98" t="s">
        <v>1437</v>
      </c>
      <c r="E560" s="98" t="s">
        <v>8</v>
      </c>
      <c r="F560" s="98" t="s">
        <v>374</v>
      </c>
      <c r="G560" s="97" t="s">
        <v>371</v>
      </c>
    </row>
    <row r="561" customFormat="false" ht="14.25" hidden="false" customHeight="false" outlineLevel="0" collapsed="false">
      <c r="A561" s="98" t="s">
        <v>96</v>
      </c>
      <c r="B561" s="98" t="n">
        <v>712115121</v>
      </c>
      <c r="C561" s="47" t="s">
        <v>1438</v>
      </c>
      <c r="D561" s="47"/>
      <c r="E561" s="47" t="s">
        <v>8</v>
      </c>
      <c r="F561" s="47" t="s">
        <v>367</v>
      </c>
      <c r="G561" s="97" t="s">
        <v>368</v>
      </c>
    </row>
    <row r="562" customFormat="false" ht="14.25" hidden="false" customHeight="false" outlineLevel="0" collapsed="false">
      <c r="A562" s="98" t="s">
        <v>96</v>
      </c>
      <c r="B562" s="98" t="n">
        <v>712115121</v>
      </c>
      <c r="C562" s="98" t="s">
        <v>1439</v>
      </c>
      <c r="D562" s="98" t="s">
        <v>1440</v>
      </c>
      <c r="E562" s="98" t="s">
        <v>1427</v>
      </c>
      <c r="F562" s="98" t="s">
        <v>374</v>
      </c>
      <c r="G562" s="97" t="s">
        <v>748</v>
      </c>
    </row>
    <row r="563" customFormat="false" ht="14.25" hidden="false" customHeight="false" outlineLevel="0" collapsed="false">
      <c r="A563" s="98" t="s">
        <v>96</v>
      </c>
      <c r="B563" s="98" t="n">
        <v>712115121</v>
      </c>
      <c r="C563" s="98" t="s">
        <v>1441</v>
      </c>
      <c r="D563" s="98" t="s">
        <v>1442</v>
      </c>
      <c r="E563" s="98" t="s">
        <v>8</v>
      </c>
      <c r="F563" s="98" t="s">
        <v>374</v>
      </c>
      <c r="G563" s="97" t="s">
        <v>371</v>
      </c>
    </row>
    <row r="564" customFormat="false" ht="14.25" hidden="false" customHeight="false" outlineLevel="0" collapsed="false">
      <c r="A564" s="47" t="s">
        <v>1443</v>
      </c>
      <c r="B564" s="47" t="n">
        <v>338811</v>
      </c>
      <c r="C564" s="47" t="s">
        <v>1444</v>
      </c>
      <c r="D564" s="47" t="s">
        <v>1445</v>
      </c>
      <c r="E564" s="47" t="s">
        <v>8</v>
      </c>
      <c r="F564" s="47" t="s">
        <v>374</v>
      </c>
      <c r="G564" s="97" t="s">
        <v>368</v>
      </c>
    </row>
    <row r="565" customFormat="false" ht="14.25" hidden="false" customHeight="false" outlineLevel="0" collapsed="false">
      <c r="A565" s="47" t="s">
        <v>1443</v>
      </c>
      <c r="B565" s="47" t="n">
        <v>338811</v>
      </c>
      <c r="C565" s="47" t="s">
        <v>1446</v>
      </c>
      <c r="D565" s="47" t="s">
        <v>1447</v>
      </c>
      <c r="E565" s="47" t="s">
        <v>8</v>
      </c>
      <c r="F565" s="47" t="s">
        <v>374</v>
      </c>
      <c r="G565" s="97" t="s">
        <v>368</v>
      </c>
    </row>
    <row r="566" customFormat="false" ht="14.25" hidden="false" customHeight="false" outlineLevel="0" collapsed="false">
      <c r="A566" s="47" t="s">
        <v>1443</v>
      </c>
      <c r="B566" s="47" t="n">
        <v>338811</v>
      </c>
      <c r="C566" s="47" t="s">
        <v>1448</v>
      </c>
      <c r="D566" s="47" t="s">
        <v>1449</v>
      </c>
      <c r="E566" s="47" t="s">
        <v>8</v>
      </c>
      <c r="F566" s="47" t="s">
        <v>374</v>
      </c>
      <c r="G566" s="97" t="s">
        <v>368</v>
      </c>
    </row>
    <row r="567" customFormat="false" ht="14.25" hidden="false" customHeight="false" outlineLevel="0" collapsed="false">
      <c r="A567" s="47" t="s">
        <v>1443</v>
      </c>
      <c r="B567" s="47" t="n">
        <v>338811</v>
      </c>
      <c r="C567" s="47" t="s">
        <v>1450</v>
      </c>
      <c r="D567" s="47" t="s">
        <v>1451</v>
      </c>
      <c r="E567" s="47" t="s">
        <v>8</v>
      </c>
      <c r="F567" s="47" t="s">
        <v>374</v>
      </c>
      <c r="G567" s="97" t="s">
        <v>368</v>
      </c>
    </row>
    <row r="568" customFormat="false" ht="14.25" hidden="false" customHeight="false" outlineLevel="0" collapsed="false">
      <c r="A568" s="47" t="s">
        <v>1443</v>
      </c>
      <c r="B568" s="47" t="n">
        <v>338811</v>
      </c>
      <c r="C568" s="47" t="s">
        <v>1452</v>
      </c>
      <c r="D568" s="47" t="s">
        <v>1453</v>
      </c>
      <c r="E568" s="47" t="s">
        <v>8</v>
      </c>
      <c r="F568" s="47" t="s">
        <v>374</v>
      </c>
      <c r="G568" s="97" t="s">
        <v>368</v>
      </c>
    </row>
    <row r="569" customFormat="false" ht="14.25" hidden="false" customHeight="false" outlineLevel="0" collapsed="false">
      <c r="A569" s="47" t="s">
        <v>1443</v>
      </c>
      <c r="B569" s="47" t="n">
        <v>338811</v>
      </c>
      <c r="C569" s="47" t="s">
        <v>1454</v>
      </c>
      <c r="D569" s="47" t="s">
        <v>1455</v>
      </c>
      <c r="E569" s="47" t="s">
        <v>8</v>
      </c>
      <c r="F569" s="47" t="s">
        <v>374</v>
      </c>
      <c r="G569" s="97" t="s">
        <v>368</v>
      </c>
    </row>
    <row r="570" customFormat="false" ht="14.25" hidden="false" customHeight="false" outlineLevel="0" collapsed="false">
      <c r="A570" s="47" t="s">
        <v>1443</v>
      </c>
      <c r="B570" s="47" t="n">
        <v>338811</v>
      </c>
      <c r="C570" s="47" t="s">
        <v>1456</v>
      </c>
      <c r="D570" s="47" t="s">
        <v>1457</v>
      </c>
      <c r="E570" s="47" t="s">
        <v>8</v>
      </c>
      <c r="F570" s="47" t="s">
        <v>374</v>
      </c>
      <c r="G570" s="97" t="s">
        <v>368</v>
      </c>
    </row>
    <row r="571" customFormat="false" ht="14.25" hidden="false" customHeight="false" outlineLevel="0" collapsed="false">
      <c r="A571" s="47" t="s">
        <v>1443</v>
      </c>
      <c r="B571" s="47" t="n">
        <v>338811</v>
      </c>
      <c r="C571" s="47" t="s">
        <v>1458</v>
      </c>
      <c r="D571" s="47" t="s">
        <v>1459</v>
      </c>
      <c r="E571" s="47" t="s">
        <v>8</v>
      </c>
      <c r="F571" s="47" t="s">
        <v>374</v>
      </c>
      <c r="G571" s="97" t="s">
        <v>368</v>
      </c>
    </row>
    <row r="572" customFormat="false" ht="14.25" hidden="false" customHeight="false" outlineLevel="0" collapsed="false">
      <c r="A572" s="47" t="s">
        <v>1443</v>
      </c>
      <c r="B572" s="47" t="n">
        <v>338811</v>
      </c>
      <c r="C572" s="47" t="s">
        <v>1460</v>
      </c>
      <c r="D572" s="47" t="s">
        <v>1461</v>
      </c>
      <c r="E572" s="47" t="s">
        <v>8</v>
      </c>
      <c r="F572" s="47" t="s">
        <v>367</v>
      </c>
      <c r="G572" s="97" t="s">
        <v>368</v>
      </c>
    </row>
    <row r="573" customFormat="false" ht="14.25" hidden="false" customHeight="false" outlineLevel="0" collapsed="false">
      <c r="A573" s="47" t="s">
        <v>1443</v>
      </c>
      <c r="B573" s="47" t="n">
        <v>338811</v>
      </c>
      <c r="C573" s="47" t="s">
        <v>1462</v>
      </c>
      <c r="D573" s="47" t="s">
        <v>1463</v>
      </c>
      <c r="E573" s="47" t="s">
        <v>8</v>
      </c>
      <c r="F573" s="47" t="s">
        <v>367</v>
      </c>
      <c r="G573" s="97" t="s">
        <v>368</v>
      </c>
    </row>
    <row r="574" customFormat="false" ht="14.25" hidden="false" customHeight="false" outlineLevel="0" collapsed="false">
      <c r="A574" s="47" t="s">
        <v>1443</v>
      </c>
      <c r="B574" s="47" t="n">
        <v>338811</v>
      </c>
      <c r="C574" s="47" t="s">
        <v>1464</v>
      </c>
      <c r="D574" s="47" t="s">
        <v>1465</v>
      </c>
      <c r="E574" s="47" t="s">
        <v>8</v>
      </c>
      <c r="F574" s="47" t="s">
        <v>367</v>
      </c>
      <c r="G574" s="97" t="s">
        <v>368</v>
      </c>
    </row>
    <row r="575" customFormat="false" ht="14.25" hidden="false" customHeight="false" outlineLevel="0" collapsed="false">
      <c r="A575" s="98" t="s">
        <v>1466</v>
      </c>
      <c r="B575" s="98" t="n">
        <v>704403121</v>
      </c>
      <c r="C575" s="98" t="s">
        <v>1467</v>
      </c>
      <c r="D575" s="98" t="s">
        <v>1468</v>
      </c>
      <c r="E575" s="98" t="s">
        <v>8</v>
      </c>
      <c r="F575" s="98" t="s">
        <v>367</v>
      </c>
      <c r="G575" s="97" t="s">
        <v>368</v>
      </c>
    </row>
    <row r="576" customFormat="false" ht="14.25" hidden="false" customHeight="false" outlineLevel="0" collapsed="false">
      <c r="A576" s="98" t="s">
        <v>1466</v>
      </c>
      <c r="B576" s="98" t="n">
        <v>704403121</v>
      </c>
      <c r="C576" s="98" t="s">
        <v>1469</v>
      </c>
      <c r="D576" s="98" t="s">
        <v>1470</v>
      </c>
      <c r="E576" s="98" t="s">
        <v>8</v>
      </c>
      <c r="F576" s="98" t="s">
        <v>367</v>
      </c>
      <c r="G576" s="97" t="s">
        <v>368</v>
      </c>
    </row>
    <row r="577" customFormat="false" ht="14.25" hidden="false" customHeight="false" outlineLevel="0" collapsed="false">
      <c r="A577" s="98" t="s">
        <v>1466</v>
      </c>
      <c r="B577" s="98" t="n">
        <v>704403121</v>
      </c>
      <c r="C577" s="98" t="s">
        <v>1471</v>
      </c>
      <c r="D577" s="98" t="s">
        <v>1472</v>
      </c>
      <c r="E577" s="98" t="s">
        <v>8</v>
      </c>
      <c r="F577" s="98" t="s">
        <v>367</v>
      </c>
      <c r="G577" s="97" t="s">
        <v>368</v>
      </c>
    </row>
    <row r="578" customFormat="false" ht="14.25" hidden="false" customHeight="false" outlineLevel="0" collapsed="false">
      <c r="A578" s="98" t="s">
        <v>1466</v>
      </c>
      <c r="B578" s="98" t="n">
        <v>704403121</v>
      </c>
      <c r="C578" s="98" t="s">
        <v>1473</v>
      </c>
      <c r="D578" s="98" t="s">
        <v>1474</v>
      </c>
      <c r="E578" s="98" t="s">
        <v>8</v>
      </c>
      <c r="F578" s="98" t="s">
        <v>367</v>
      </c>
      <c r="G578" s="97" t="s">
        <v>368</v>
      </c>
    </row>
    <row r="579" customFormat="false" ht="14.25" hidden="false" customHeight="false" outlineLevel="0" collapsed="false">
      <c r="A579" s="98" t="s">
        <v>1466</v>
      </c>
      <c r="B579" s="98" t="n">
        <v>704403121</v>
      </c>
      <c r="C579" s="98" t="s">
        <v>1475</v>
      </c>
      <c r="D579" s="98" t="s">
        <v>1476</v>
      </c>
      <c r="E579" s="98" t="s">
        <v>8</v>
      </c>
      <c r="F579" s="98" t="s">
        <v>367</v>
      </c>
      <c r="G579" s="97" t="s">
        <v>368</v>
      </c>
    </row>
    <row r="580" customFormat="false" ht="14.25" hidden="false" customHeight="false" outlineLevel="0" collapsed="false">
      <c r="A580" s="98" t="s">
        <v>1466</v>
      </c>
      <c r="B580" s="98" t="n">
        <v>704403121</v>
      </c>
      <c r="C580" s="98" t="s">
        <v>1477</v>
      </c>
      <c r="D580" s="98" t="s">
        <v>1478</v>
      </c>
      <c r="E580" s="98" t="s">
        <v>8</v>
      </c>
      <c r="F580" s="98" t="s">
        <v>367</v>
      </c>
      <c r="G580" s="97" t="s">
        <v>368</v>
      </c>
    </row>
    <row r="581" customFormat="false" ht="14.25" hidden="false" customHeight="false" outlineLevel="0" collapsed="false">
      <c r="A581" s="98" t="s">
        <v>1466</v>
      </c>
      <c r="B581" s="98" t="n">
        <v>704403121</v>
      </c>
      <c r="C581" s="98" t="s">
        <v>1479</v>
      </c>
      <c r="D581" s="98" t="s">
        <v>1480</v>
      </c>
      <c r="E581" s="98" t="s">
        <v>8</v>
      </c>
      <c r="F581" s="98" t="s">
        <v>374</v>
      </c>
      <c r="G581" s="97" t="s">
        <v>371</v>
      </c>
    </row>
    <row r="582" customFormat="false" ht="14.25" hidden="false" customHeight="false" outlineLevel="0" collapsed="false">
      <c r="A582" s="98" t="s">
        <v>1466</v>
      </c>
      <c r="B582" s="98" t="n">
        <v>704403121</v>
      </c>
      <c r="C582" s="98" t="s">
        <v>1481</v>
      </c>
      <c r="D582" s="98" t="s">
        <v>1482</v>
      </c>
      <c r="E582" s="98" t="s">
        <v>8</v>
      </c>
      <c r="F582" s="98" t="s">
        <v>374</v>
      </c>
      <c r="G582" s="97" t="s">
        <v>371</v>
      </c>
    </row>
    <row r="583" customFormat="false" ht="14.25" hidden="false" customHeight="false" outlineLevel="0" collapsed="false">
      <c r="A583" s="98" t="s">
        <v>1466</v>
      </c>
      <c r="B583" s="98" t="n">
        <v>704403121</v>
      </c>
      <c r="C583" s="98" t="s">
        <v>83</v>
      </c>
      <c r="D583" s="98" t="s">
        <v>1483</v>
      </c>
      <c r="E583" s="98" t="s">
        <v>8</v>
      </c>
      <c r="F583" s="98" t="s">
        <v>374</v>
      </c>
      <c r="G583" s="97" t="s">
        <v>371</v>
      </c>
    </row>
    <row r="584" customFormat="false" ht="14.25" hidden="false" customHeight="false" outlineLevel="0" collapsed="false">
      <c r="A584" s="98" t="s">
        <v>1466</v>
      </c>
      <c r="B584" s="98" t="n">
        <v>704403121</v>
      </c>
      <c r="C584" s="98" t="s">
        <v>85</v>
      </c>
      <c r="D584" s="98" t="s">
        <v>1484</v>
      </c>
      <c r="E584" s="98" t="s">
        <v>8</v>
      </c>
      <c r="F584" s="47" t="s">
        <v>374</v>
      </c>
      <c r="G584" s="97" t="s">
        <v>371</v>
      </c>
    </row>
    <row r="585" customFormat="false" ht="14.25" hidden="false" customHeight="false" outlineLevel="0" collapsed="false">
      <c r="A585" s="98" t="s">
        <v>1466</v>
      </c>
      <c r="B585" s="98" t="n">
        <v>704403121</v>
      </c>
      <c r="C585" s="98" t="s">
        <v>1485</v>
      </c>
      <c r="D585" s="98" t="s">
        <v>1486</v>
      </c>
      <c r="E585" s="98" t="s">
        <v>8</v>
      </c>
      <c r="F585" s="98" t="s">
        <v>374</v>
      </c>
      <c r="G585" s="97" t="s">
        <v>371</v>
      </c>
    </row>
    <row r="586" customFormat="false" ht="14.25" hidden="false" customHeight="false" outlineLevel="0" collapsed="false">
      <c r="A586" s="47" t="s">
        <v>49</v>
      </c>
      <c r="B586" s="47" t="n">
        <v>104444012</v>
      </c>
      <c r="C586" s="47" t="s">
        <v>1487</v>
      </c>
      <c r="D586" s="47" t="s">
        <v>1488</v>
      </c>
      <c r="E586" s="47" t="s">
        <v>8</v>
      </c>
      <c r="F586" s="47" t="s">
        <v>374</v>
      </c>
      <c r="G586" s="97" t="s">
        <v>381</v>
      </c>
    </row>
    <row r="587" customFormat="false" ht="14.25" hidden="false" customHeight="false" outlineLevel="0" collapsed="false">
      <c r="A587" s="47" t="s">
        <v>49</v>
      </c>
      <c r="B587" s="47" t="n">
        <v>104444012</v>
      </c>
      <c r="C587" s="47" t="s">
        <v>1489</v>
      </c>
      <c r="D587" s="47" t="s">
        <v>1490</v>
      </c>
      <c r="E587" s="47" t="s">
        <v>8</v>
      </c>
      <c r="F587" s="47" t="s">
        <v>374</v>
      </c>
      <c r="G587" s="97" t="s">
        <v>381</v>
      </c>
    </row>
    <row r="588" customFormat="false" ht="14.25" hidden="false" customHeight="false" outlineLevel="0" collapsed="false">
      <c r="A588" s="47" t="s">
        <v>49</v>
      </c>
      <c r="B588" s="47" t="n">
        <v>104444012</v>
      </c>
      <c r="C588" s="47" t="s">
        <v>1491</v>
      </c>
      <c r="D588" s="47" t="s">
        <v>456</v>
      </c>
      <c r="E588" s="47" t="s">
        <v>8</v>
      </c>
      <c r="F588" s="47" t="s">
        <v>367</v>
      </c>
      <c r="G588" s="97" t="s">
        <v>368</v>
      </c>
    </row>
    <row r="589" customFormat="false" ht="14.25" hidden="false" customHeight="false" outlineLevel="0" collapsed="false">
      <c r="A589" s="47" t="s">
        <v>49</v>
      </c>
      <c r="B589" s="47" t="n">
        <v>104444012</v>
      </c>
      <c r="C589" s="47" t="s">
        <v>1492</v>
      </c>
      <c r="D589" s="47" t="s">
        <v>1493</v>
      </c>
      <c r="E589" s="47" t="s">
        <v>8</v>
      </c>
      <c r="F589" s="47" t="s">
        <v>367</v>
      </c>
      <c r="G589" s="97" t="s">
        <v>368</v>
      </c>
    </row>
    <row r="590" customFormat="false" ht="14.25" hidden="false" customHeight="false" outlineLevel="0" collapsed="false">
      <c r="A590" s="47" t="s">
        <v>49</v>
      </c>
      <c r="B590" s="47" t="n">
        <v>104444012</v>
      </c>
      <c r="C590" s="47" t="s">
        <v>52</v>
      </c>
      <c r="D590" s="47" t="s">
        <v>1494</v>
      </c>
      <c r="E590" s="47" t="s">
        <v>8</v>
      </c>
      <c r="F590" s="47" t="s">
        <v>374</v>
      </c>
      <c r="G590" s="97" t="s">
        <v>371</v>
      </c>
    </row>
    <row r="591" customFormat="false" ht="14.25" hidden="false" customHeight="false" outlineLevel="0" collapsed="false">
      <c r="A591" s="47" t="s">
        <v>49</v>
      </c>
      <c r="B591" s="47" t="n">
        <v>104444012</v>
      </c>
      <c r="C591" s="47" t="s">
        <v>1495</v>
      </c>
      <c r="D591" s="47" t="s">
        <v>1496</v>
      </c>
      <c r="E591" s="47" t="s">
        <v>8</v>
      </c>
      <c r="F591" s="47" t="s">
        <v>367</v>
      </c>
      <c r="G591" s="97" t="s">
        <v>368</v>
      </c>
    </row>
    <row r="592" customFormat="false" ht="14.25" hidden="false" customHeight="false" outlineLevel="0" collapsed="false">
      <c r="A592" s="47" t="s">
        <v>49</v>
      </c>
      <c r="B592" s="47" t="n">
        <v>104444012</v>
      </c>
      <c r="C592" s="47" t="s">
        <v>1497</v>
      </c>
      <c r="D592" s="47" t="s">
        <v>1498</v>
      </c>
      <c r="E592" s="47" t="s">
        <v>8</v>
      </c>
      <c r="F592" s="47" t="s">
        <v>374</v>
      </c>
      <c r="G592" s="97" t="s">
        <v>392</v>
      </c>
    </row>
    <row r="593" customFormat="false" ht="14.25" hidden="false" customHeight="false" outlineLevel="0" collapsed="false">
      <c r="A593" s="47" t="s">
        <v>49</v>
      </c>
      <c r="B593" s="47" t="n">
        <v>104444012</v>
      </c>
      <c r="C593" s="47" t="s">
        <v>54</v>
      </c>
      <c r="D593" s="47" t="s">
        <v>1499</v>
      </c>
      <c r="E593" s="47" t="s">
        <v>8</v>
      </c>
      <c r="F593" s="47" t="s">
        <v>374</v>
      </c>
      <c r="G593" s="97" t="s">
        <v>371</v>
      </c>
    </row>
    <row r="594" customFormat="false" ht="14.25" hidden="false" customHeight="false" outlineLevel="0" collapsed="false">
      <c r="A594" s="47" t="s">
        <v>49</v>
      </c>
      <c r="B594" s="47" t="n">
        <v>104444012</v>
      </c>
      <c r="C594" s="47" t="s">
        <v>1500</v>
      </c>
      <c r="D594" s="47" t="s">
        <v>1501</v>
      </c>
      <c r="E594" s="47" t="s">
        <v>8</v>
      </c>
      <c r="F594" s="47" t="s">
        <v>374</v>
      </c>
      <c r="G594" s="97" t="s">
        <v>392</v>
      </c>
    </row>
    <row r="595" customFormat="false" ht="14.25" hidden="false" customHeight="false" outlineLevel="0" collapsed="false">
      <c r="A595" s="47" t="s">
        <v>49</v>
      </c>
      <c r="B595" s="47" t="n">
        <v>104444012</v>
      </c>
      <c r="C595" s="47" t="s">
        <v>1502</v>
      </c>
      <c r="D595" s="47" t="s">
        <v>1503</v>
      </c>
      <c r="E595" s="47" t="s">
        <v>8</v>
      </c>
      <c r="F595" s="47" t="s">
        <v>374</v>
      </c>
      <c r="G595" s="97" t="s">
        <v>381</v>
      </c>
    </row>
    <row r="596" customFormat="false" ht="14.25" hidden="false" customHeight="false" outlineLevel="0" collapsed="false">
      <c r="A596" s="47" t="s">
        <v>49</v>
      </c>
      <c r="B596" s="47" t="n">
        <v>104444012</v>
      </c>
      <c r="C596" s="47" t="s">
        <v>50</v>
      </c>
      <c r="D596" s="47" t="s">
        <v>1504</v>
      </c>
      <c r="E596" s="47" t="s">
        <v>8</v>
      </c>
      <c r="F596" s="47" t="s">
        <v>374</v>
      </c>
      <c r="G596" s="97" t="s">
        <v>371</v>
      </c>
    </row>
    <row r="597" customFormat="false" ht="14.25" hidden="false" customHeight="false" outlineLevel="0" collapsed="false">
      <c r="A597" s="47" t="s">
        <v>49</v>
      </c>
      <c r="B597" s="47" t="n">
        <v>104444012</v>
      </c>
      <c r="C597" s="47" t="s">
        <v>1505</v>
      </c>
      <c r="D597" s="47" t="s">
        <v>1506</v>
      </c>
      <c r="E597" s="47" t="s">
        <v>8</v>
      </c>
      <c r="F597" s="47" t="s">
        <v>367</v>
      </c>
      <c r="G597" s="97" t="s">
        <v>368</v>
      </c>
    </row>
    <row r="598" customFormat="false" ht="14.25" hidden="false" customHeight="false" outlineLevel="0" collapsed="false">
      <c r="A598" s="47" t="s">
        <v>49</v>
      </c>
      <c r="B598" s="47" t="n">
        <v>104444012</v>
      </c>
      <c r="C598" s="47" t="s">
        <v>1507</v>
      </c>
      <c r="D598" s="47" t="s">
        <v>1508</v>
      </c>
      <c r="E598" s="47" t="s">
        <v>8</v>
      </c>
      <c r="F598" s="47" t="s">
        <v>374</v>
      </c>
      <c r="G598" s="97" t="s">
        <v>381</v>
      </c>
    </row>
    <row r="599" customFormat="false" ht="14.25" hidden="false" customHeight="false" outlineLevel="0" collapsed="false">
      <c r="A599" s="47" t="s">
        <v>49</v>
      </c>
      <c r="B599" s="47" t="n">
        <v>104444012</v>
      </c>
      <c r="C599" s="47" t="s">
        <v>1509</v>
      </c>
      <c r="D599" s="47" t="s">
        <v>1510</v>
      </c>
      <c r="E599" s="47" t="s">
        <v>8</v>
      </c>
      <c r="F599" s="47" t="s">
        <v>374</v>
      </c>
      <c r="G599" s="97" t="s">
        <v>381</v>
      </c>
    </row>
    <row r="600" customFormat="false" ht="14.25" hidden="false" customHeight="false" outlineLevel="0" collapsed="false">
      <c r="A600" s="47" t="s">
        <v>49</v>
      </c>
      <c r="B600" s="47" t="n">
        <v>104444012</v>
      </c>
      <c r="C600" s="47" t="s">
        <v>1511</v>
      </c>
      <c r="D600" s="47" t="s">
        <v>1512</v>
      </c>
      <c r="E600" s="47" t="s">
        <v>8</v>
      </c>
      <c r="F600" s="47" t="s">
        <v>367</v>
      </c>
      <c r="G600" s="97" t="s">
        <v>368</v>
      </c>
    </row>
    <row r="601" customFormat="false" ht="14.25" hidden="false" customHeight="false" outlineLevel="0" collapsed="false">
      <c r="A601" s="47" t="s">
        <v>49</v>
      </c>
      <c r="B601" s="47" t="n">
        <v>104444012</v>
      </c>
      <c r="C601" s="47" t="s">
        <v>1513</v>
      </c>
      <c r="D601" s="47" t="s">
        <v>1514</v>
      </c>
      <c r="E601" s="47" t="s">
        <v>8</v>
      </c>
      <c r="F601" s="47" t="s">
        <v>367</v>
      </c>
      <c r="G601" s="97" t="s">
        <v>368</v>
      </c>
    </row>
    <row r="602" customFormat="false" ht="14.25" hidden="false" customHeight="false" outlineLevel="0" collapsed="false">
      <c r="A602" s="47" t="s">
        <v>49</v>
      </c>
      <c r="B602" s="47" t="n">
        <v>104444012</v>
      </c>
      <c r="C602" s="47" t="s">
        <v>1515</v>
      </c>
      <c r="D602" s="47" t="s">
        <v>1516</v>
      </c>
      <c r="E602" s="47" t="s">
        <v>8</v>
      </c>
      <c r="F602" s="47" t="s">
        <v>374</v>
      </c>
      <c r="G602" s="97" t="s">
        <v>392</v>
      </c>
    </row>
    <row r="603" customFormat="false" ht="14.25" hidden="false" customHeight="false" outlineLevel="0" collapsed="false">
      <c r="A603" s="47" t="s">
        <v>49</v>
      </c>
      <c r="B603" s="47" t="n">
        <v>104444012</v>
      </c>
      <c r="C603" s="47" t="s">
        <v>56</v>
      </c>
      <c r="D603" s="47" t="s">
        <v>1517</v>
      </c>
      <c r="E603" s="47" t="s">
        <v>8</v>
      </c>
      <c r="F603" s="47" t="s">
        <v>374</v>
      </c>
      <c r="G603" s="97" t="s">
        <v>371</v>
      </c>
    </row>
    <row r="604" customFormat="false" ht="14.25" hidden="false" customHeight="false" outlineLevel="0" collapsed="false">
      <c r="A604" s="47" t="s">
        <v>49</v>
      </c>
      <c r="B604" s="47" t="n">
        <v>104444012</v>
      </c>
      <c r="C604" s="47" t="s">
        <v>1518</v>
      </c>
      <c r="D604" s="47" t="s">
        <v>1519</v>
      </c>
      <c r="E604" s="47" t="s">
        <v>8</v>
      </c>
      <c r="F604" s="47" t="s">
        <v>374</v>
      </c>
      <c r="G604" s="97" t="s">
        <v>381</v>
      </c>
    </row>
    <row r="605" customFormat="false" ht="14.25" hidden="false" customHeight="false" outlineLevel="0" collapsed="false">
      <c r="A605" s="47" t="s">
        <v>49</v>
      </c>
      <c r="B605" s="47" t="n">
        <v>104444012</v>
      </c>
      <c r="C605" s="47" t="s">
        <v>60</v>
      </c>
      <c r="D605" s="47" t="s">
        <v>1520</v>
      </c>
      <c r="E605" s="47" t="s">
        <v>8</v>
      </c>
      <c r="F605" s="47" t="s">
        <v>374</v>
      </c>
      <c r="G605" s="97" t="s">
        <v>371</v>
      </c>
    </row>
    <row r="606" customFormat="false" ht="14.25" hidden="false" customHeight="false" outlineLevel="0" collapsed="false">
      <c r="A606" s="47" t="s">
        <v>49</v>
      </c>
      <c r="B606" s="47" t="n">
        <v>104444012</v>
      </c>
      <c r="C606" s="47" t="s">
        <v>1521</v>
      </c>
      <c r="D606" s="47" t="s">
        <v>1522</v>
      </c>
      <c r="E606" s="47" t="s">
        <v>8</v>
      </c>
      <c r="F606" s="47" t="s">
        <v>367</v>
      </c>
      <c r="G606" s="97" t="s">
        <v>368</v>
      </c>
    </row>
    <row r="607" customFormat="false" ht="14.25" hidden="false" customHeight="false" outlineLevel="0" collapsed="false">
      <c r="A607" s="47" t="s">
        <v>127</v>
      </c>
      <c r="B607" s="47" t="n">
        <v>338851</v>
      </c>
      <c r="C607" s="47" t="s">
        <v>1523</v>
      </c>
      <c r="D607" s="47" t="s">
        <v>1524</v>
      </c>
      <c r="E607" s="47" t="s">
        <v>8</v>
      </c>
      <c r="F607" s="47" t="s">
        <v>367</v>
      </c>
      <c r="G607" s="97" t="s">
        <v>368</v>
      </c>
    </row>
    <row r="608" customFormat="false" ht="14.25" hidden="false" customHeight="false" outlineLevel="0" collapsed="false">
      <c r="A608" s="47" t="s">
        <v>127</v>
      </c>
      <c r="B608" s="47" t="n">
        <v>338851</v>
      </c>
      <c r="C608" s="47" t="s">
        <v>1525</v>
      </c>
      <c r="D608" s="47" t="s">
        <v>1526</v>
      </c>
      <c r="E608" s="47" t="s">
        <v>8</v>
      </c>
      <c r="F608" s="47" t="s">
        <v>367</v>
      </c>
      <c r="G608" s="97" t="s">
        <v>368</v>
      </c>
    </row>
    <row r="609" customFormat="false" ht="14.25" hidden="false" customHeight="false" outlineLevel="0" collapsed="false">
      <c r="A609" s="47" t="s">
        <v>127</v>
      </c>
      <c r="B609" s="47" t="n">
        <v>338851</v>
      </c>
      <c r="C609" s="47" t="s">
        <v>1527</v>
      </c>
      <c r="D609" s="47" t="s">
        <v>1528</v>
      </c>
      <c r="E609" s="47" t="s">
        <v>8</v>
      </c>
      <c r="F609" s="47" t="s">
        <v>374</v>
      </c>
      <c r="G609" s="97" t="s">
        <v>381</v>
      </c>
    </row>
    <row r="610" customFormat="false" ht="14.25" hidden="false" customHeight="false" outlineLevel="0" collapsed="false">
      <c r="A610" s="47" t="s">
        <v>127</v>
      </c>
      <c r="B610" s="47" t="n">
        <v>338851</v>
      </c>
      <c r="C610" s="47" t="s">
        <v>129</v>
      </c>
      <c r="D610" s="47" t="s">
        <v>1529</v>
      </c>
      <c r="E610" s="47" t="s">
        <v>8</v>
      </c>
      <c r="F610" s="47" t="s">
        <v>367</v>
      </c>
      <c r="G610" s="97" t="s">
        <v>368</v>
      </c>
    </row>
    <row r="611" customFormat="false" ht="14.25" hidden="false" customHeight="false" outlineLevel="0" collapsed="false">
      <c r="A611" s="47" t="s">
        <v>127</v>
      </c>
      <c r="B611" s="47" t="n">
        <v>338851</v>
      </c>
      <c r="C611" s="47" t="s">
        <v>84</v>
      </c>
      <c r="D611" s="47" t="s">
        <v>582</v>
      </c>
      <c r="E611" s="47" t="s">
        <v>8</v>
      </c>
      <c r="F611" s="47" t="s">
        <v>367</v>
      </c>
      <c r="G611" s="97" t="s">
        <v>368</v>
      </c>
    </row>
    <row r="612" customFormat="false" ht="14.25" hidden="false" customHeight="false" outlineLevel="0" collapsed="false">
      <c r="A612" s="47" t="s">
        <v>127</v>
      </c>
      <c r="B612" s="47" t="n">
        <v>338851</v>
      </c>
      <c r="C612" s="47" t="s">
        <v>1530</v>
      </c>
      <c r="D612" s="47" t="s">
        <v>1531</v>
      </c>
      <c r="E612" s="47" t="s">
        <v>8</v>
      </c>
      <c r="F612" s="47" t="s">
        <v>367</v>
      </c>
      <c r="G612" s="97" t="s">
        <v>368</v>
      </c>
    </row>
    <row r="613" customFormat="false" ht="14.25" hidden="false" customHeight="false" outlineLevel="0" collapsed="false">
      <c r="A613" s="47" t="s">
        <v>127</v>
      </c>
      <c r="B613" s="47" t="n">
        <v>338851</v>
      </c>
      <c r="C613" s="47" t="s">
        <v>88</v>
      </c>
      <c r="D613" s="47" t="s">
        <v>1532</v>
      </c>
      <c r="E613" s="47" t="s">
        <v>8</v>
      </c>
      <c r="F613" s="47" t="s">
        <v>367</v>
      </c>
      <c r="G613" s="97" t="s">
        <v>368</v>
      </c>
    </row>
    <row r="614" customFormat="false" ht="14.25" hidden="false" customHeight="false" outlineLevel="0" collapsed="false">
      <c r="A614" s="47" t="s">
        <v>127</v>
      </c>
      <c r="B614" s="47" t="n">
        <v>338851</v>
      </c>
      <c r="C614" s="47" t="s">
        <v>89</v>
      </c>
      <c r="D614" s="47" t="s">
        <v>1533</v>
      </c>
      <c r="E614" s="47" t="s">
        <v>8</v>
      </c>
      <c r="F614" s="47" t="s">
        <v>367</v>
      </c>
      <c r="G614" s="97" t="s">
        <v>368</v>
      </c>
    </row>
    <row r="615" customFormat="false" ht="14.25" hidden="false" customHeight="false" outlineLevel="0" collapsed="false">
      <c r="A615" s="47" t="s">
        <v>127</v>
      </c>
      <c r="B615" s="47" t="n">
        <v>338851</v>
      </c>
      <c r="C615" s="47" t="s">
        <v>1534</v>
      </c>
      <c r="D615" s="47" t="s">
        <v>1535</v>
      </c>
      <c r="E615" s="47" t="s">
        <v>8</v>
      </c>
      <c r="F615" s="47" t="s">
        <v>367</v>
      </c>
      <c r="G615" s="97" t="s">
        <v>368</v>
      </c>
    </row>
    <row r="616" customFormat="false" ht="14.25" hidden="false" customHeight="false" outlineLevel="0" collapsed="false">
      <c r="A616" s="47" t="s">
        <v>127</v>
      </c>
      <c r="B616" s="47" t="n">
        <v>338851</v>
      </c>
      <c r="C616" s="47" t="s">
        <v>1536</v>
      </c>
      <c r="D616" s="47" t="s">
        <v>1537</v>
      </c>
      <c r="E616" s="47" t="s">
        <v>8</v>
      </c>
      <c r="F616" s="47" t="s">
        <v>367</v>
      </c>
      <c r="G616" s="97" t="s">
        <v>368</v>
      </c>
    </row>
    <row r="617" customFormat="false" ht="14.25" hidden="false" customHeight="false" outlineLevel="0" collapsed="false">
      <c r="A617" s="47" t="s">
        <v>127</v>
      </c>
      <c r="B617" s="47" t="n">
        <v>338851</v>
      </c>
      <c r="C617" s="47" t="s">
        <v>1538</v>
      </c>
      <c r="D617" s="47" t="s">
        <v>1539</v>
      </c>
      <c r="E617" s="47" t="s">
        <v>8</v>
      </c>
      <c r="F617" s="47" t="s">
        <v>367</v>
      </c>
      <c r="G617" s="97" t="s">
        <v>368</v>
      </c>
    </row>
    <row r="618" customFormat="false" ht="14.25" hidden="false" customHeight="false" outlineLevel="0" collapsed="false">
      <c r="A618" s="47" t="s">
        <v>127</v>
      </c>
      <c r="B618" s="47" t="n">
        <v>338851</v>
      </c>
      <c r="C618" s="47" t="s">
        <v>1540</v>
      </c>
      <c r="D618" s="47" t="s">
        <v>1541</v>
      </c>
      <c r="E618" s="47" t="s">
        <v>8</v>
      </c>
      <c r="F618" s="47" t="s">
        <v>367</v>
      </c>
      <c r="G618" s="97" t="s">
        <v>368</v>
      </c>
    </row>
    <row r="619" customFormat="false" ht="14.25" hidden="false" customHeight="false" outlineLevel="0" collapsed="false">
      <c r="A619" s="47" t="s">
        <v>127</v>
      </c>
      <c r="B619" s="47" t="n">
        <v>338851</v>
      </c>
      <c r="C619" s="47" t="s">
        <v>86</v>
      </c>
      <c r="D619" s="47" t="s">
        <v>1542</v>
      </c>
      <c r="E619" s="47" t="s">
        <v>8</v>
      </c>
      <c r="F619" s="47" t="s">
        <v>367</v>
      </c>
      <c r="G619" s="97" t="s">
        <v>368</v>
      </c>
    </row>
    <row r="620" customFormat="false" ht="14.25" hidden="false" customHeight="false" outlineLevel="0" collapsed="false">
      <c r="A620" s="47" t="s">
        <v>127</v>
      </c>
      <c r="B620" s="47" t="n">
        <v>338851</v>
      </c>
      <c r="C620" s="47" t="s">
        <v>1543</v>
      </c>
      <c r="D620" s="47" t="s">
        <v>1544</v>
      </c>
      <c r="E620" s="47" t="s">
        <v>8</v>
      </c>
      <c r="F620" s="47" t="s">
        <v>367</v>
      </c>
      <c r="G620" s="97" t="s">
        <v>368</v>
      </c>
    </row>
    <row r="621" customFormat="false" ht="14.25" hidden="false" customHeight="false" outlineLevel="0" collapsed="false">
      <c r="A621" s="47" t="s">
        <v>127</v>
      </c>
      <c r="B621" s="47" t="n">
        <v>338851</v>
      </c>
      <c r="C621" s="47" t="s">
        <v>1545</v>
      </c>
      <c r="D621" s="47" t="s">
        <v>1546</v>
      </c>
      <c r="E621" s="47" t="s">
        <v>8</v>
      </c>
      <c r="F621" s="47" t="s">
        <v>367</v>
      </c>
      <c r="G621" s="97" t="s">
        <v>368</v>
      </c>
    </row>
    <row r="622" customFormat="false" ht="14.25" hidden="false" customHeight="false" outlineLevel="0" collapsed="false">
      <c r="A622" s="47" t="s">
        <v>127</v>
      </c>
      <c r="B622" s="47" t="n">
        <v>338851</v>
      </c>
      <c r="C622" s="47" t="s">
        <v>1547</v>
      </c>
      <c r="D622" s="47" t="s">
        <v>1548</v>
      </c>
      <c r="E622" s="47" t="s">
        <v>8</v>
      </c>
      <c r="F622" s="47" t="s">
        <v>367</v>
      </c>
      <c r="G622" s="97" t="s">
        <v>368</v>
      </c>
    </row>
    <row r="623" customFormat="false" ht="14.25" hidden="false" customHeight="false" outlineLevel="0" collapsed="false">
      <c r="A623" s="47" t="s">
        <v>127</v>
      </c>
      <c r="B623" s="47" t="n">
        <v>338851</v>
      </c>
      <c r="C623" s="47" t="s">
        <v>1549</v>
      </c>
      <c r="D623" s="47" t="s">
        <v>1550</v>
      </c>
      <c r="E623" s="47" t="s">
        <v>8</v>
      </c>
      <c r="F623" s="47" t="s">
        <v>367</v>
      </c>
      <c r="G623" s="97" t="s">
        <v>368</v>
      </c>
    </row>
    <row r="624" customFormat="false" ht="14.25" hidden="false" customHeight="false" outlineLevel="0" collapsed="false">
      <c r="A624" s="47" t="s">
        <v>127</v>
      </c>
      <c r="B624" s="47" t="n">
        <v>338851</v>
      </c>
      <c r="C624" s="47" t="s">
        <v>1551</v>
      </c>
      <c r="D624" s="47" t="s">
        <v>456</v>
      </c>
      <c r="E624" s="47" t="s">
        <v>8</v>
      </c>
      <c r="F624" s="47" t="s">
        <v>367</v>
      </c>
      <c r="G624" s="97" t="s">
        <v>368</v>
      </c>
    </row>
    <row r="625" customFormat="false" ht="14.25" hidden="false" customHeight="false" outlineLevel="0" collapsed="false">
      <c r="A625" s="47" t="s">
        <v>127</v>
      </c>
      <c r="B625" s="47" t="n">
        <v>338851</v>
      </c>
      <c r="C625" s="47" t="s">
        <v>1552</v>
      </c>
      <c r="D625" s="47" t="s">
        <v>1553</v>
      </c>
      <c r="E625" s="47" t="s">
        <v>8</v>
      </c>
      <c r="F625" s="47" t="s">
        <v>374</v>
      </c>
      <c r="G625" s="97" t="s">
        <v>371</v>
      </c>
    </row>
    <row r="626" customFormat="false" ht="14.25" hidden="false" customHeight="false" outlineLevel="0" collapsed="false">
      <c r="A626" s="47" t="s">
        <v>127</v>
      </c>
      <c r="B626" s="47" t="n">
        <v>338851</v>
      </c>
      <c r="C626" s="47" t="s">
        <v>87</v>
      </c>
      <c r="D626" s="47" t="s">
        <v>1554</v>
      </c>
      <c r="E626" s="47" t="s">
        <v>8</v>
      </c>
      <c r="F626" s="47" t="s">
        <v>367</v>
      </c>
      <c r="G626" s="97" t="s">
        <v>368</v>
      </c>
    </row>
    <row r="627" customFormat="false" ht="14.25" hidden="false" customHeight="false" outlineLevel="0" collapsed="false">
      <c r="A627" s="47" t="s">
        <v>127</v>
      </c>
      <c r="B627" s="47" t="n">
        <v>338851</v>
      </c>
      <c r="C627" s="47" t="s">
        <v>1555</v>
      </c>
      <c r="D627" s="47" t="s">
        <v>1556</v>
      </c>
      <c r="E627" s="47" t="s">
        <v>8</v>
      </c>
      <c r="F627" s="47" t="s">
        <v>367</v>
      </c>
      <c r="G627" s="97" t="s">
        <v>368</v>
      </c>
    </row>
    <row r="628" customFormat="false" ht="14.25" hidden="false" customHeight="false" outlineLevel="0" collapsed="false">
      <c r="A628" s="47" t="s">
        <v>127</v>
      </c>
      <c r="B628" s="47" t="n">
        <v>338851</v>
      </c>
      <c r="C628" s="47" t="s">
        <v>1527</v>
      </c>
      <c r="D628" s="47" t="s">
        <v>1557</v>
      </c>
      <c r="E628" s="47" t="s">
        <v>8</v>
      </c>
      <c r="F628" s="47" t="s">
        <v>367</v>
      </c>
      <c r="G628" s="97" t="s">
        <v>381</v>
      </c>
    </row>
    <row r="629" customFormat="false" ht="14.25" hidden="false" customHeight="false" outlineLevel="0" collapsed="false">
      <c r="A629" s="47" t="s">
        <v>164</v>
      </c>
      <c r="B629" s="47" t="n">
        <v>3</v>
      </c>
      <c r="C629" s="47" t="s">
        <v>1558</v>
      </c>
      <c r="D629" s="47" t="s">
        <v>1559</v>
      </c>
      <c r="E629" s="47" t="s">
        <v>8</v>
      </c>
      <c r="F629" s="47" t="s">
        <v>367</v>
      </c>
      <c r="G629" s="97" t="s">
        <v>368</v>
      </c>
    </row>
    <row r="630" customFormat="false" ht="14.25" hidden="false" customHeight="false" outlineLevel="0" collapsed="false">
      <c r="A630" s="47" t="s">
        <v>164</v>
      </c>
      <c r="B630" s="47" t="n">
        <v>3</v>
      </c>
      <c r="C630" s="47" t="s">
        <v>1560</v>
      </c>
      <c r="D630" s="47" t="s">
        <v>1561</v>
      </c>
      <c r="E630" s="47" t="s">
        <v>8</v>
      </c>
      <c r="F630" s="47" t="s">
        <v>374</v>
      </c>
      <c r="G630" s="97" t="s">
        <v>381</v>
      </c>
    </row>
    <row r="631" customFormat="false" ht="14.25" hidden="false" customHeight="false" outlineLevel="0" collapsed="false">
      <c r="A631" s="47" t="s">
        <v>164</v>
      </c>
      <c r="B631" s="47" t="n">
        <v>3</v>
      </c>
      <c r="C631" s="47" t="s">
        <v>1562</v>
      </c>
      <c r="D631" s="47" t="s">
        <v>1563</v>
      </c>
      <c r="E631" s="47" t="s">
        <v>8</v>
      </c>
      <c r="F631" s="47" t="s">
        <v>367</v>
      </c>
      <c r="G631" s="97" t="s">
        <v>368</v>
      </c>
    </row>
    <row r="632" customFormat="false" ht="14.25" hidden="false" customHeight="false" outlineLevel="0" collapsed="false">
      <c r="A632" s="47" t="s">
        <v>164</v>
      </c>
      <c r="B632" s="47" t="n">
        <v>3</v>
      </c>
      <c r="C632" s="47" t="s">
        <v>1564</v>
      </c>
      <c r="D632" s="47" t="s">
        <v>1565</v>
      </c>
      <c r="E632" s="47" t="s">
        <v>8</v>
      </c>
      <c r="F632" s="47" t="s">
        <v>367</v>
      </c>
      <c r="G632" s="97" t="s">
        <v>368</v>
      </c>
    </row>
    <row r="633" customFormat="false" ht="14.25" hidden="false" customHeight="false" outlineLevel="0" collapsed="false">
      <c r="A633" s="47" t="s">
        <v>164</v>
      </c>
      <c r="B633" s="47" t="n">
        <v>3</v>
      </c>
      <c r="C633" s="47" t="s">
        <v>1566</v>
      </c>
      <c r="D633" s="47" t="s">
        <v>1567</v>
      </c>
      <c r="E633" s="47" t="s">
        <v>8</v>
      </c>
      <c r="F633" s="47" t="s">
        <v>367</v>
      </c>
      <c r="G633" s="97" t="s">
        <v>368</v>
      </c>
    </row>
    <row r="634" customFormat="false" ht="14.25" hidden="false" customHeight="false" outlineLevel="0" collapsed="false">
      <c r="A634" s="47" t="s">
        <v>164</v>
      </c>
      <c r="B634" s="47" t="n">
        <v>3</v>
      </c>
      <c r="C634" s="47" t="s">
        <v>1568</v>
      </c>
      <c r="D634" s="47" t="s">
        <v>1569</v>
      </c>
      <c r="E634" s="47" t="s">
        <v>8</v>
      </c>
      <c r="F634" s="47" t="s">
        <v>374</v>
      </c>
      <c r="G634" s="97" t="s">
        <v>578</v>
      </c>
    </row>
    <row r="635" customFormat="false" ht="14.25" hidden="false" customHeight="false" outlineLevel="0" collapsed="false">
      <c r="A635" s="47" t="s">
        <v>164</v>
      </c>
      <c r="B635" s="47" t="n">
        <v>3</v>
      </c>
      <c r="C635" s="47" t="s">
        <v>90</v>
      </c>
      <c r="D635" s="47" t="s">
        <v>1570</v>
      </c>
      <c r="E635" s="47" t="s">
        <v>8</v>
      </c>
      <c r="F635" s="47" t="s">
        <v>367</v>
      </c>
      <c r="G635" s="97" t="s">
        <v>368</v>
      </c>
    </row>
    <row r="636" customFormat="false" ht="14.25" hidden="false" customHeight="false" outlineLevel="0" collapsed="false">
      <c r="A636" s="47" t="s">
        <v>164</v>
      </c>
      <c r="B636" s="47" t="n">
        <v>3</v>
      </c>
      <c r="C636" s="47" t="s">
        <v>1571</v>
      </c>
      <c r="D636" s="47" t="s">
        <v>1572</v>
      </c>
      <c r="E636" s="47" t="s">
        <v>8</v>
      </c>
      <c r="F636" s="47" t="s">
        <v>374</v>
      </c>
      <c r="G636" s="97" t="s">
        <v>392</v>
      </c>
    </row>
    <row r="637" customFormat="false" ht="14.25" hidden="false" customHeight="false" outlineLevel="0" collapsed="false">
      <c r="A637" s="47" t="s">
        <v>164</v>
      </c>
      <c r="B637" s="47" t="n">
        <v>3</v>
      </c>
      <c r="C637" s="47" t="s">
        <v>91</v>
      </c>
      <c r="D637" s="47" t="s">
        <v>1573</v>
      </c>
      <c r="E637" s="47" t="s">
        <v>8</v>
      </c>
      <c r="F637" s="47" t="s">
        <v>367</v>
      </c>
      <c r="G637" s="97" t="s">
        <v>368</v>
      </c>
    </row>
    <row r="638" customFormat="false" ht="14.25" hidden="false" customHeight="false" outlineLevel="0" collapsed="false">
      <c r="A638" s="47" t="s">
        <v>164</v>
      </c>
      <c r="B638" s="47" t="n">
        <v>3</v>
      </c>
      <c r="C638" s="47" t="s">
        <v>1574</v>
      </c>
      <c r="D638" s="47" t="s">
        <v>1575</v>
      </c>
      <c r="E638" s="47" t="s">
        <v>8</v>
      </c>
      <c r="F638" s="47" t="s">
        <v>367</v>
      </c>
      <c r="G638" s="97" t="s">
        <v>368</v>
      </c>
    </row>
    <row r="639" customFormat="false" ht="14.25" hidden="false" customHeight="false" outlineLevel="0" collapsed="false">
      <c r="A639" s="47" t="s">
        <v>164</v>
      </c>
      <c r="B639" s="47" t="n">
        <v>3</v>
      </c>
      <c r="C639" s="47" t="s">
        <v>1576</v>
      </c>
      <c r="D639" s="47" t="s">
        <v>1577</v>
      </c>
      <c r="E639" s="47" t="s">
        <v>8</v>
      </c>
      <c r="F639" s="47" t="s">
        <v>367</v>
      </c>
      <c r="G639" s="97" t="s">
        <v>368</v>
      </c>
    </row>
    <row r="640" customFormat="false" ht="14.25" hidden="false" customHeight="false" outlineLevel="0" collapsed="false">
      <c r="A640" s="47" t="s">
        <v>164</v>
      </c>
      <c r="B640" s="47" t="n">
        <v>3</v>
      </c>
      <c r="C640" s="47" t="s">
        <v>1578</v>
      </c>
      <c r="D640" s="47" t="s">
        <v>1579</v>
      </c>
      <c r="E640" s="47" t="s">
        <v>8</v>
      </c>
      <c r="F640" s="47" t="s">
        <v>374</v>
      </c>
      <c r="G640" s="97" t="s">
        <v>381</v>
      </c>
    </row>
    <row r="641" customFormat="false" ht="14.25" hidden="false" customHeight="false" outlineLevel="0" collapsed="false">
      <c r="A641" s="47" t="s">
        <v>164</v>
      </c>
      <c r="B641" s="47" t="n">
        <v>3</v>
      </c>
      <c r="C641" s="47" t="s">
        <v>1580</v>
      </c>
      <c r="D641" s="47" t="s">
        <v>1581</v>
      </c>
      <c r="E641" s="47" t="s">
        <v>8</v>
      </c>
      <c r="F641" s="47" t="s">
        <v>367</v>
      </c>
      <c r="G641" s="97" t="s">
        <v>368</v>
      </c>
    </row>
    <row r="642" customFormat="false" ht="14.25" hidden="false" customHeight="false" outlineLevel="0" collapsed="false">
      <c r="A642" s="47" t="s">
        <v>164</v>
      </c>
      <c r="B642" s="47" t="n">
        <v>3</v>
      </c>
      <c r="C642" s="47" t="s">
        <v>1582</v>
      </c>
      <c r="D642" s="47" t="s">
        <v>1583</v>
      </c>
      <c r="E642" s="47" t="s">
        <v>8</v>
      </c>
      <c r="F642" s="47" t="s">
        <v>374</v>
      </c>
      <c r="G642" s="97" t="s">
        <v>381</v>
      </c>
    </row>
    <row r="643" customFormat="false" ht="14.25" hidden="false" customHeight="false" outlineLevel="0" collapsed="false">
      <c r="A643" s="47" t="s">
        <v>164</v>
      </c>
      <c r="B643" s="47" t="n">
        <v>3</v>
      </c>
      <c r="C643" s="47" t="s">
        <v>1584</v>
      </c>
      <c r="D643" s="47" t="s">
        <v>1585</v>
      </c>
      <c r="E643" s="47" t="s">
        <v>8</v>
      </c>
      <c r="F643" s="47" t="s">
        <v>367</v>
      </c>
      <c r="G643" s="97" t="s">
        <v>368</v>
      </c>
    </row>
    <row r="644" customFormat="false" ht="14.25" hidden="false" customHeight="false" outlineLevel="0" collapsed="false">
      <c r="A644" s="47" t="s">
        <v>164</v>
      </c>
      <c r="B644" s="47" t="n">
        <v>3</v>
      </c>
      <c r="C644" s="47" t="s">
        <v>1586</v>
      </c>
      <c r="D644" s="47" t="s">
        <v>1587</v>
      </c>
      <c r="E644" s="47" t="s">
        <v>8</v>
      </c>
      <c r="F644" s="47" t="s">
        <v>374</v>
      </c>
      <c r="G644" s="97" t="s">
        <v>392</v>
      </c>
    </row>
    <row r="645" customFormat="false" ht="14.25" hidden="false" customHeight="false" outlineLevel="0" collapsed="false">
      <c r="A645" s="47" t="s">
        <v>164</v>
      </c>
      <c r="B645" s="47" t="n">
        <v>3</v>
      </c>
      <c r="C645" s="47" t="s">
        <v>1588</v>
      </c>
      <c r="D645" s="47" t="s">
        <v>1589</v>
      </c>
      <c r="E645" s="47" t="s">
        <v>8</v>
      </c>
      <c r="F645" s="47" t="s">
        <v>374</v>
      </c>
      <c r="G645" s="97" t="s">
        <v>381</v>
      </c>
    </row>
    <row r="646" customFormat="false" ht="14.25" hidden="false" customHeight="false" outlineLevel="0" collapsed="false">
      <c r="A646" s="47" t="s">
        <v>164</v>
      </c>
      <c r="B646" s="47" t="n">
        <v>3</v>
      </c>
      <c r="C646" s="47" t="s">
        <v>93</v>
      </c>
      <c r="D646" s="47" t="s">
        <v>1590</v>
      </c>
      <c r="E646" s="47" t="s">
        <v>8</v>
      </c>
      <c r="F646" s="47" t="s">
        <v>367</v>
      </c>
      <c r="G646" s="97" t="s">
        <v>368</v>
      </c>
    </row>
    <row r="647" customFormat="false" ht="14.25" hidden="false" customHeight="false" outlineLevel="0" collapsed="false">
      <c r="A647" s="47" t="s">
        <v>164</v>
      </c>
      <c r="B647" s="47" t="n">
        <v>3</v>
      </c>
      <c r="C647" s="47" t="s">
        <v>1591</v>
      </c>
      <c r="D647" s="47" t="s">
        <v>1592</v>
      </c>
      <c r="E647" s="47" t="s">
        <v>8</v>
      </c>
      <c r="F647" s="47" t="s">
        <v>374</v>
      </c>
      <c r="G647" s="97" t="s">
        <v>392</v>
      </c>
    </row>
    <row r="648" customFormat="false" ht="14.25" hidden="false" customHeight="false" outlineLevel="0" collapsed="false">
      <c r="A648" s="47" t="s">
        <v>164</v>
      </c>
      <c r="B648" s="47" t="n">
        <v>3</v>
      </c>
      <c r="C648" s="47" t="s">
        <v>1593</v>
      </c>
      <c r="D648" s="47" t="s">
        <v>1594</v>
      </c>
      <c r="E648" s="47" t="s">
        <v>8</v>
      </c>
      <c r="F648" s="47" t="s">
        <v>374</v>
      </c>
      <c r="G648" s="97" t="s">
        <v>381</v>
      </c>
    </row>
    <row r="649" customFormat="false" ht="14.25" hidden="false" customHeight="false" outlineLevel="0" collapsed="false">
      <c r="A649" s="47" t="s">
        <v>164</v>
      </c>
      <c r="B649" s="47" t="n">
        <v>3</v>
      </c>
      <c r="C649" s="47" t="s">
        <v>1595</v>
      </c>
      <c r="D649" s="47" t="s">
        <v>419</v>
      </c>
      <c r="E649" s="47" t="s">
        <v>8</v>
      </c>
      <c r="F649" s="47" t="s">
        <v>367</v>
      </c>
      <c r="G649" s="97" t="s">
        <v>368</v>
      </c>
    </row>
    <row r="650" customFormat="false" ht="14.25" hidden="false" customHeight="false" outlineLevel="0" collapsed="false">
      <c r="A650" s="47" t="s">
        <v>164</v>
      </c>
      <c r="B650" s="47" t="n">
        <v>3</v>
      </c>
      <c r="C650" s="47" t="s">
        <v>1596</v>
      </c>
      <c r="D650" s="47" t="s">
        <v>1597</v>
      </c>
      <c r="E650" s="47" t="s">
        <v>8</v>
      </c>
      <c r="F650" s="47" t="s">
        <v>374</v>
      </c>
      <c r="G650" s="97" t="s">
        <v>371</v>
      </c>
    </row>
    <row r="651" customFormat="false" ht="14.25" hidden="false" customHeight="false" outlineLevel="0" collapsed="false">
      <c r="A651" s="47" t="s">
        <v>164</v>
      </c>
      <c r="B651" s="47" t="n">
        <v>3</v>
      </c>
      <c r="C651" s="47" t="s">
        <v>1598</v>
      </c>
      <c r="D651" s="47" t="s">
        <v>1599</v>
      </c>
      <c r="E651" s="47" t="s">
        <v>8</v>
      </c>
      <c r="F651" s="47" t="s">
        <v>374</v>
      </c>
      <c r="G651" s="97" t="s">
        <v>381</v>
      </c>
    </row>
    <row r="652" customFormat="false" ht="14.25" hidden="false" customHeight="false" outlineLevel="0" collapsed="false">
      <c r="A652" s="47" t="s">
        <v>164</v>
      </c>
      <c r="B652" s="47" t="n">
        <v>3</v>
      </c>
      <c r="C652" s="47" t="s">
        <v>1600</v>
      </c>
      <c r="D652" s="47" t="s">
        <v>582</v>
      </c>
      <c r="E652" s="47" t="s">
        <v>8</v>
      </c>
      <c r="F652" s="47" t="s">
        <v>374</v>
      </c>
      <c r="G652" s="97" t="s">
        <v>392</v>
      </c>
    </row>
    <row r="653" customFormat="false" ht="14.25" hidden="false" customHeight="false" outlineLevel="0" collapsed="false">
      <c r="A653" s="47" t="s">
        <v>164</v>
      </c>
      <c r="B653" s="47" t="n">
        <v>3</v>
      </c>
      <c r="C653" s="47" t="s">
        <v>1601</v>
      </c>
      <c r="D653" s="47" t="s">
        <v>1602</v>
      </c>
      <c r="E653" s="47" t="s">
        <v>8</v>
      </c>
      <c r="F653" s="47" t="s">
        <v>374</v>
      </c>
      <c r="G653" s="97" t="s">
        <v>381</v>
      </c>
    </row>
    <row r="654" customFormat="false" ht="14.25" hidden="false" customHeight="false" outlineLevel="0" collapsed="false">
      <c r="A654" s="47" t="s">
        <v>164</v>
      </c>
      <c r="B654" s="47" t="n">
        <v>3</v>
      </c>
      <c r="C654" s="47" t="s">
        <v>1603</v>
      </c>
      <c r="D654" s="47" t="s">
        <v>1604</v>
      </c>
      <c r="E654" s="47" t="s">
        <v>8</v>
      </c>
      <c r="F654" s="47" t="s">
        <v>374</v>
      </c>
      <c r="G654" s="97" t="s">
        <v>392</v>
      </c>
    </row>
    <row r="655" customFormat="false" ht="14.25" hidden="false" customHeight="false" outlineLevel="0" collapsed="false">
      <c r="A655" s="47" t="s">
        <v>164</v>
      </c>
      <c r="B655" s="47" t="n">
        <v>3</v>
      </c>
      <c r="C655" s="47" t="s">
        <v>1605</v>
      </c>
      <c r="D655" s="47" t="s">
        <v>1606</v>
      </c>
      <c r="E655" s="47" t="s">
        <v>8</v>
      </c>
      <c r="F655" s="47" t="s">
        <v>374</v>
      </c>
      <c r="G655" s="97" t="s">
        <v>578</v>
      </c>
    </row>
    <row r="656" customFormat="false" ht="14.25" hidden="false" customHeight="false" outlineLevel="0" collapsed="false">
      <c r="A656" s="47" t="s">
        <v>164</v>
      </c>
      <c r="B656" s="47" t="n">
        <v>3</v>
      </c>
      <c r="C656" s="47" t="s">
        <v>1607</v>
      </c>
      <c r="D656" s="47" t="s">
        <v>1608</v>
      </c>
      <c r="E656" s="47" t="s">
        <v>8</v>
      </c>
      <c r="F656" s="47" t="s">
        <v>374</v>
      </c>
      <c r="G656" s="97" t="s">
        <v>381</v>
      </c>
    </row>
    <row r="657" customFormat="false" ht="14.25" hidden="false" customHeight="false" outlineLevel="0" collapsed="false">
      <c r="A657" s="47" t="s">
        <v>164</v>
      </c>
      <c r="B657" s="47" t="n">
        <v>3</v>
      </c>
      <c r="C657" s="47" t="s">
        <v>1609</v>
      </c>
      <c r="D657" s="47" t="s">
        <v>1610</v>
      </c>
      <c r="E657" s="47" t="s">
        <v>8</v>
      </c>
      <c r="F657" s="47" t="s">
        <v>367</v>
      </c>
      <c r="G657" s="97" t="s">
        <v>368</v>
      </c>
    </row>
    <row r="658" customFormat="false" ht="14.25" hidden="false" customHeight="false" outlineLevel="0" collapsed="false">
      <c r="A658" s="47" t="s">
        <v>164</v>
      </c>
      <c r="B658" s="47" t="n">
        <v>3</v>
      </c>
      <c r="C658" s="47" t="s">
        <v>1611</v>
      </c>
      <c r="D658" s="47" t="s">
        <v>1612</v>
      </c>
      <c r="E658" s="47" t="s">
        <v>8</v>
      </c>
      <c r="F658" s="47" t="s">
        <v>374</v>
      </c>
      <c r="G658" s="97" t="s">
        <v>381</v>
      </c>
    </row>
    <row r="659" customFormat="false" ht="14.25" hidden="false" customHeight="false" outlineLevel="0" collapsed="false">
      <c r="A659" s="47" t="s">
        <v>164</v>
      </c>
      <c r="B659" s="47" t="n">
        <v>3</v>
      </c>
      <c r="C659" s="47" t="s">
        <v>1613</v>
      </c>
      <c r="D659" s="47" t="s">
        <v>1614</v>
      </c>
      <c r="E659" s="47" t="s">
        <v>8</v>
      </c>
      <c r="F659" s="47" t="s">
        <v>374</v>
      </c>
      <c r="G659" s="97" t="s">
        <v>578</v>
      </c>
    </row>
    <row r="660" customFormat="false" ht="14.25" hidden="false" customHeight="false" outlineLevel="0" collapsed="false">
      <c r="A660" s="47" t="s">
        <v>164</v>
      </c>
      <c r="B660" s="47" t="n">
        <v>3</v>
      </c>
      <c r="C660" s="47" t="s">
        <v>1615</v>
      </c>
      <c r="D660" s="47" t="s">
        <v>456</v>
      </c>
      <c r="E660" s="47" t="s">
        <v>8</v>
      </c>
      <c r="F660" s="47" t="s">
        <v>374</v>
      </c>
      <c r="G660" s="97" t="s">
        <v>392</v>
      </c>
    </row>
    <row r="661" customFormat="false" ht="14.25" hidden="false" customHeight="false" outlineLevel="0" collapsed="false">
      <c r="A661" s="47" t="s">
        <v>164</v>
      </c>
      <c r="B661" s="47" t="n">
        <v>3</v>
      </c>
      <c r="C661" s="47" t="s">
        <v>1616</v>
      </c>
      <c r="D661" s="47" t="s">
        <v>1617</v>
      </c>
      <c r="E661" s="47" t="s">
        <v>8</v>
      </c>
      <c r="F661" s="47" t="s">
        <v>374</v>
      </c>
      <c r="G661" s="97" t="s">
        <v>578</v>
      </c>
    </row>
    <row r="662" customFormat="false" ht="14.25" hidden="false" customHeight="false" outlineLevel="0" collapsed="false">
      <c r="A662" s="47" t="s">
        <v>164</v>
      </c>
      <c r="B662" s="47" t="n">
        <v>3</v>
      </c>
      <c r="C662" s="47" t="s">
        <v>1618</v>
      </c>
      <c r="D662" s="47" t="s">
        <v>1619</v>
      </c>
      <c r="E662" s="47" t="s">
        <v>8</v>
      </c>
      <c r="F662" s="47" t="s">
        <v>374</v>
      </c>
      <c r="G662" s="97" t="s">
        <v>381</v>
      </c>
    </row>
    <row r="663" customFormat="false" ht="14.25" hidden="false" customHeight="false" outlineLevel="0" collapsed="false">
      <c r="A663" s="47" t="s">
        <v>164</v>
      </c>
      <c r="B663" s="47" t="n">
        <v>3</v>
      </c>
      <c r="C663" s="47" t="s">
        <v>1620</v>
      </c>
      <c r="D663" s="47" t="s">
        <v>1606</v>
      </c>
      <c r="E663" s="47" t="s">
        <v>8</v>
      </c>
      <c r="F663" s="47" t="s">
        <v>367</v>
      </c>
      <c r="G663" s="97" t="s">
        <v>368</v>
      </c>
    </row>
    <row r="664" customFormat="false" ht="14.25" hidden="false" customHeight="false" outlineLevel="0" collapsed="false">
      <c r="A664" s="47" t="s">
        <v>164</v>
      </c>
      <c r="B664" s="47" t="n">
        <v>3</v>
      </c>
      <c r="C664" s="47" t="s">
        <v>1621</v>
      </c>
      <c r="D664" s="47" t="s">
        <v>1622</v>
      </c>
      <c r="E664" s="47" t="s">
        <v>8</v>
      </c>
      <c r="F664" s="47" t="s">
        <v>367</v>
      </c>
      <c r="G664" s="97" t="s">
        <v>368</v>
      </c>
    </row>
    <row r="665" customFormat="false" ht="14.25" hidden="false" customHeight="false" outlineLevel="0" collapsed="false">
      <c r="A665" s="47" t="s">
        <v>164</v>
      </c>
      <c r="B665" s="47" t="n">
        <v>3</v>
      </c>
      <c r="C665" s="47" t="s">
        <v>1623</v>
      </c>
      <c r="D665" s="47" t="s">
        <v>1624</v>
      </c>
      <c r="E665" s="47" t="s">
        <v>8</v>
      </c>
      <c r="F665" s="47" t="s">
        <v>374</v>
      </c>
      <c r="G665" s="97" t="s">
        <v>381</v>
      </c>
    </row>
    <row r="666" customFormat="false" ht="14.25" hidden="false" customHeight="false" outlineLevel="0" collapsed="false">
      <c r="A666" s="47" t="s">
        <v>164</v>
      </c>
      <c r="B666" s="47" t="n">
        <v>3</v>
      </c>
      <c r="C666" s="47" t="s">
        <v>1625</v>
      </c>
      <c r="D666" s="47" t="s">
        <v>1626</v>
      </c>
      <c r="E666" s="47" t="s">
        <v>8</v>
      </c>
      <c r="F666" s="47" t="s">
        <v>367</v>
      </c>
      <c r="G666" s="97" t="s">
        <v>368</v>
      </c>
    </row>
    <row r="667" customFormat="false" ht="14.25" hidden="false" customHeight="false" outlineLevel="0" collapsed="false">
      <c r="A667" s="47" t="s">
        <v>164</v>
      </c>
      <c r="B667" s="47" t="n">
        <v>3</v>
      </c>
      <c r="C667" s="47" t="s">
        <v>1627</v>
      </c>
      <c r="D667" s="47" t="s">
        <v>1628</v>
      </c>
      <c r="E667" s="47" t="s">
        <v>8</v>
      </c>
      <c r="F667" s="47" t="s">
        <v>374</v>
      </c>
      <c r="G667" s="97" t="s">
        <v>381</v>
      </c>
    </row>
    <row r="668" customFormat="false" ht="14.25" hidden="false" customHeight="false" outlineLevel="0" collapsed="false">
      <c r="A668" s="47" t="s">
        <v>164</v>
      </c>
      <c r="B668" s="47" t="n">
        <v>3</v>
      </c>
      <c r="C668" s="47" t="s">
        <v>1629</v>
      </c>
      <c r="D668" s="47" t="s">
        <v>1630</v>
      </c>
      <c r="E668" s="47" t="s">
        <v>8</v>
      </c>
      <c r="F668" s="47" t="s">
        <v>367</v>
      </c>
      <c r="G668" s="97" t="s">
        <v>368</v>
      </c>
    </row>
    <row r="669" customFormat="false" ht="14.25" hidden="false" customHeight="false" outlineLevel="0" collapsed="false">
      <c r="A669" s="47" t="s">
        <v>164</v>
      </c>
      <c r="B669" s="47" t="n">
        <v>3</v>
      </c>
      <c r="C669" s="47" t="s">
        <v>1631</v>
      </c>
      <c r="D669" s="47" t="s">
        <v>1632</v>
      </c>
      <c r="E669" s="47" t="s">
        <v>8</v>
      </c>
      <c r="F669" s="47" t="s">
        <v>374</v>
      </c>
      <c r="G669" s="97" t="s">
        <v>371</v>
      </c>
    </row>
    <row r="670" customFormat="false" ht="14.25" hidden="false" customHeight="false" outlineLevel="0" collapsed="false">
      <c r="A670" s="47" t="s">
        <v>164</v>
      </c>
      <c r="B670" s="47" t="n">
        <v>3</v>
      </c>
      <c r="C670" s="47" t="s">
        <v>1633</v>
      </c>
      <c r="D670" s="47" t="s">
        <v>1634</v>
      </c>
      <c r="E670" s="47" t="s">
        <v>8</v>
      </c>
      <c r="F670" s="47" t="s">
        <v>367</v>
      </c>
      <c r="G670" s="97" t="s">
        <v>368</v>
      </c>
    </row>
    <row r="671" customFormat="false" ht="14.25" hidden="false" customHeight="false" outlineLevel="0" collapsed="false">
      <c r="A671" s="47" t="s">
        <v>164</v>
      </c>
      <c r="B671" s="47" t="n">
        <v>3</v>
      </c>
      <c r="C671" s="47" t="s">
        <v>1635</v>
      </c>
      <c r="D671" s="47" t="s">
        <v>1636</v>
      </c>
      <c r="E671" s="47" t="s">
        <v>8</v>
      </c>
      <c r="F671" s="47" t="s">
        <v>374</v>
      </c>
      <c r="G671" s="97" t="s">
        <v>381</v>
      </c>
    </row>
    <row r="672" customFormat="false" ht="14.25" hidden="false" customHeight="false" outlineLevel="0" collapsed="false">
      <c r="A672" s="47" t="s">
        <v>164</v>
      </c>
      <c r="B672" s="47" t="n">
        <v>3</v>
      </c>
      <c r="C672" s="47" t="s">
        <v>1637</v>
      </c>
      <c r="D672" s="47" t="s">
        <v>1638</v>
      </c>
      <c r="E672" s="47" t="s">
        <v>8</v>
      </c>
      <c r="F672" s="47" t="s">
        <v>374</v>
      </c>
      <c r="G672" s="97" t="s">
        <v>381</v>
      </c>
    </row>
    <row r="673" customFormat="false" ht="14.25" hidden="false" customHeight="false" outlineLevel="0" collapsed="false">
      <c r="A673" s="47" t="s">
        <v>164</v>
      </c>
      <c r="B673" s="47" t="n">
        <v>3</v>
      </c>
      <c r="C673" s="47" t="s">
        <v>1639</v>
      </c>
      <c r="D673" s="47" t="s">
        <v>1640</v>
      </c>
      <c r="E673" s="47" t="s">
        <v>8</v>
      </c>
      <c r="F673" s="47" t="s">
        <v>367</v>
      </c>
      <c r="G673" s="97" t="s">
        <v>368</v>
      </c>
    </row>
    <row r="674" customFormat="false" ht="14.25" hidden="false" customHeight="false" outlineLevel="0" collapsed="false">
      <c r="A674" s="47" t="s">
        <v>164</v>
      </c>
      <c r="B674" s="47" t="n">
        <v>3</v>
      </c>
      <c r="C674" s="47" t="s">
        <v>1641</v>
      </c>
      <c r="D674" s="47" t="s">
        <v>1642</v>
      </c>
      <c r="E674" s="47" t="s">
        <v>8</v>
      </c>
      <c r="F674" s="47" t="s">
        <v>367</v>
      </c>
      <c r="G674" s="97" t="s">
        <v>368</v>
      </c>
    </row>
    <row r="675" customFormat="false" ht="14.25" hidden="false" customHeight="false" outlineLevel="0" collapsed="false">
      <c r="A675" s="47" t="s">
        <v>164</v>
      </c>
      <c r="B675" s="47" t="n">
        <v>3</v>
      </c>
      <c r="C675" s="47" t="s">
        <v>1643</v>
      </c>
      <c r="D675" s="47" t="s">
        <v>1644</v>
      </c>
      <c r="E675" s="47" t="s">
        <v>8</v>
      </c>
      <c r="F675" s="47" t="s">
        <v>367</v>
      </c>
      <c r="G675" s="97" t="s">
        <v>368</v>
      </c>
    </row>
    <row r="676" customFormat="false" ht="14.25" hidden="false" customHeight="false" outlineLevel="0" collapsed="false">
      <c r="A676" s="47" t="s">
        <v>164</v>
      </c>
      <c r="B676" s="47" t="n">
        <v>3</v>
      </c>
      <c r="C676" s="47" t="s">
        <v>92</v>
      </c>
      <c r="D676" s="47" t="s">
        <v>1645</v>
      </c>
      <c r="E676" s="47" t="s">
        <v>8</v>
      </c>
      <c r="F676" s="47" t="s">
        <v>367</v>
      </c>
      <c r="G676" s="97" t="s">
        <v>368</v>
      </c>
    </row>
    <row r="677" customFormat="false" ht="14.25" hidden="false" customHeight="false" outlineLevel="0" collapsed="false">
      <c r="A677" s="47" t="s">
        <v>164</v>
      </c>
      <c r="B677" s="47" t="n">
        <v>3</v>
      </c>
      <c r="C677" s="47" t="s">
        <v>1646</v>
      </c>
      <c r="D677" s="47" t="s">
        <v>1647</v>
      </c>
      <c r="E677" s="47" t="s">
        <v>8</v>
      </c>
      <c r="F677" s="47" t="s">
        <v>374</v>
      </c>
      <c r="G677" s="97" t="s">
        <v>578</v>
      </c>
    </row>
    <row r="678" customFormat="false" ht="14.25" hidden="false" customHeight="false" outlineLevel="0" collapsed="false">
      <c r="A678" s="47" t="s">
        <v>164</v>
      </c>
      <c r="B678" s="47" t="n">
        <v>3</v>
      </c>
      <c r="C678" s="47" t="s">
        <v>1648</v>
      </c>
      <c r="D678" s="47" t="s">
        <v>1649</v>
      </c>
      <c r="E678" s="47" t="s">
        <v>8</v>
      </c>
      <c r="F678" s="47" t="s">
        <v>367</v>
      </c>
      <c r="G678" s="97" t="s">
        <v>368</v>
      </c>
    </row>
    <row r="679" customFormat="false" ht="14.25" hidden="false" customHeight="false" outlineLevel="0" collapsed="false">
      <c r="A679" s="47" t="s">
        <v>164</v>
      </c>
      <c r="B679" s="47" t="n">
        <v>3</v>
      </c>
      <c r="C679" s="47" t="s">
        <v>1650</v>
      </c>
      <c r="D679" s="47" t="s">
        <v>1651</v>
      </c>
      <c r="E679" s="47" t="s">
        <v>8</v>
      </c>
      <c r="F679" s="47" t="s">
        <v>374</v>
      </c>
      <c r="G679" s="97" t="s">
        <v>578</v>
      </c>
    </row>
    <row r="680" customFormat="false" ht="14.25" hidden="false" customHeight="false" outlineLevel="0" collapsed="false">
      <c r="A680" s="47" t="s">
        <v>164</v>
      </c>
      <c r="B680" s="47" t="n">
        <v>3</v>
      </c>
      <c r="C680" s="47" t="s">
        <v>1652</v>
      </c>
      <c r="D680" s="47" t="s">
        <v>839</v>
      </c>
      <c r="E680" s="47" t="s">
        <v>8</v>
      </c>
      <c r="F680" s="47" t="s">
        <v>374</v>
      </c>
      <c r="G680" s="97" t="s">
        <v>578</v>
      </c>
    </row>
    <row r="681" customFormat="false" ht="14.25" hidden="false" customHeight="false" outlineLevel="0" collapsed="false">
      <c r="A681" s="47" t="s">
        <v>164</v>
      </c>
      <c r="B681" s="47" t="n">
        <v>3</v>
      </c>
      <c r="C681" s="47" t="s">
        <v>1653</v>
      </c>
      <c r="D681" s="47" t="s">
        <v>1654</v>
      </c>
      <c r="E681" s="47" t="s">
        <v>8</v>
      </c>
      <c r="F681" s="47" t="s">
        <v>374</v>
      </c>
      <c r="G681" s="97" t="s">
        <v>371</v>
      </c>
    </row>
    <row r="682" customFormat="false" ht="14.25" hidden="false" customHeight="false" outlineLevel="0" collapsed="false">
      <c r="A682" s="47" t="s">
        <v>164</v>
      </c>
      <c r="B682" s="47" t="n">
        <v>3</v>
      </c>
      <c r="C682" s="47" t="s">
        <v>1655</v>
      </c>
      <c r="D682" s="47" t="s">
        <v>1656</v>
      </c>
      <c r="E682" s="47" t="s">
        <v>8</v>
      </c>
      <c r="F682" s="47" t="s">
        <v>367</v>
      </c>
      <c r="G682" s="97" t="s">
        <v>368</v>
      </c>
    </row>
    <row r="683" customFormat="false" ht="14.25" hidden="false" customHeight="false" outlineLevel="0" collapsed="false">
      <c r="A683" s="47" t="s">
        <v>164</v>
      </c>
      <c r="B683" s="47" t="n">
        <v>3</v>
      </c>
      <c r="C683" s="47" t="s">
        <v>1657</v>
      </c>
      <c r="D683" s="47" t="s">
        <v>1658</v>
      </c>
      <c r="E683" s="47" t="s">
        <v>8</v>
      </c>
      <c r="F683" s="47" t="s">
        <v>374</v>
      </c>
      <c r="G683" s="97" t="s">
        <v>381</v>
      </c>
    </row>
    <row r="684" customFormat="false" ht="14.25" hidden="false" customHeight="false" outlineLevel="0" collapsed="false">
      <c r="A684" s="47" t="s">
        <v>164</v>
      </c>
      <c r="B684" s="47" t="n">
        <v>3</v>
      </c>
      <c r="C684" s="47" t="s">
        <v>1659</v>
      </c>
      <c r="D684" s="47" t="s">
        <v>1660</v>
      </c>
      <c r="E684" s="47" t="s">
        <v>8</v>
      </c>
      <c r="F684" s="47" t="s">
        <v>367</v>
      </c>
      <c r="G684" s="97" t="s">
        <v>368</v>
      </c>
    </row>
    <row r="685" customFormat="false" ht="14.25" hidden="false" customHeight="false" outlineLevel="0" collapsed="false">
      <c r="A685" s="47" t="s">
        <v>164</v>
      </c>
      <c r="B685" s="47" t="n">
        <v>3</v>
      </c>
      <c r="C685" s="47" t="s">
        <v>1661</v>
      </c>
      <c r="D685" s="47" t="s">
        <v>1662</v>
      </c>
      <c r="E685" s="47" t="s">
        <v>8</v>
      </c>
      <c r="F685" s="47" t="s">
        <v>367</v>
      </c>
      <c r="G685" s="97" t="s">
        <v>368</v>
      </c>
    </row>
    <row r="686" customFormat="false" ht="14.25" hidden="false" customHeight="false" outlineLevel="0" collapsed="false">
      <c r="A686" s="47" t="s">
        <v>164</v>
      </c>
      <c r="B686" s="47" t="n">
        <v>3</v>
      </c>
      <c r="C686" s="47" t="s">
        <v>1663</v>
      </c>
      <c r="D686" s="47" t="s">
        <v>1664</v>
      </c>
      <c r="E686" s="47" t="s">
        <v>8</v>
      </c>
      <c r="F686" s="47" t="s">
        <v>374</v>
      </c>
      <c r="G686" s="97" t="s">
        <v>371</v>
      </c>
    </row>
    <row r="687" customFormat="false" ht="14.25" hidden="false" customHeight="false" outlineLevel="0" collapsed="false">
      <c r="A687" s="47" t="s">
        <v>164</v>
      </c>
      <c r="B687" s="47" t="n">
        <v>3</v>
      </c>
      <c r="C687" s="47" t="s">
        <v>1665</v>
      </c>
      <c r="D687" s="47" t="s">
        <v>1666</v>
      </c>
      <c r="E687" s="47" t="s">
        <v>8</v>
      </c>
      <c r="F687" s="47" t="s">
        <v>367</v>
      </c>
      <c r="G687" s="97" t="s">
        <v>368</v>
      </c>
    </row>
    <row r="688" customFormat="false" ht="14.25" hidden="false" customHeight="false" outlineLevel="0" collapsed="false">
      <c r="A688" s="47" t="s">
        <v>164</v>
      </c>
      <c r="B688" s="47" t="n">
        <v>3</v>
      </c>
      <c r="C688" s="47" t="s">
        <v>1667</v>
      </c>
      <c r="D688" s="47" t="s">
        <v>1668</v>
      </c>
      <c r="E688" s="47" t="s">
        <v>8</v>
      </c>
      <c r="F688" s="47" t="s">
        <v>367</v>
      </c>
      <c r="G688" s="97" t="s">
        <v>368</v>
      </c>
    </row>
    <row r="689" customFormat="false" ht="14.25" hidden="false" customHeight="false" outlineLevel="0" collapsed="false">
      <c r="A689" s="47" t="s">
        <v>164</v>
      </c>
      <c r="B689" s="47" t="n">
        <v>3</v>
      </c>
      <c r="C689" s="47" t="s">
        <v>1669</v>
      </c>
      <c r="D689" s="47" t="s">
        <v>1670</v>
      </c>
      <c r="E689" s="47" t="s">
        <v>8</v>
      </c>
      <c r="F689" s="47" t="s">
        <v>367</v>
      </c>
      <c r="G689" s="97" t="s">
        <v>368</v>
      </c>
    </row>
    <row r="690" customFormat="false" ht="14.25" hidden="false" customHeight="false" outlineLevel="0" collapsed="false">
      <c r="A690" s="47" t="s">
        <v>164</v>
      </c>
      <c r="B690" s="47" t="n">
        <v>3</v>
      </c>
      <c r="C690" s="47" t="s">
        <v>1671</v>
      </c>
      <c r="D690" s="47" t="s">
        <v>1672</v>
      </c>
      <c r="E690" s="47" t="s">
        <v>8</v>
      </c>
      <c r="F690" s="47" t="s">
        <v>374</v>
      </c>
      <c r="G690" s="97" t="s">
        <v>381</v>
      </c>
    </row>
    <row r="691" customFormat="false" ht="14.25" hidden="false" customHeight="false" outlineLevel="0" collapsed="false">
      <c r="A691" s="47" t="s">
        <v>164</v>
      </c>
      <c r="B691" s="47" t="n">
        <v>3</v>
      </c>
      <c r="C691" s="47" t="s">
        <v>1673</v>
      </c>
      <c r="D691" s="47" t="s">
        <v>1674</v>
      </c>
      <c r="E691" s="47" t="s">
        <v>8</v>
      </c>
      <c r="F691" s="47" t="s">
        <v>374</v>
      </c>
      <c r="G691" s="97" t="s">
        <v>381</v>
      </c>
    </row>
    <row r="692" customFormat="false" ht="14.25" hidden="false" customHeight="false" outlineLevel="0" collapsed="false">
      <c r="A692" s="47" t="s">
        <v>164</v>
      </c>
      <c r="B692" s="47" t="n">
        <v>3</v>
      </c>
      <c r="C692" s="47" t="s">
        <v>1675</v>
      </c>
      <c r="D692" s="47" t="s">
        <v>1676</v>
      </c>
      <c r="E692" s="47" t="s">
        <v>8</v>
      </c>
      <c r="F692" s="47" t="s">
        <v>374</v>
      </c>
      <c r="G692" s="97" t="s">
        <v>578</v>
      </c>
    </row>
    <row r="693" customFormat="false" ht="14.25" hidden="false" customHeight="false" outlineLevel="0" collapsed="false">
      <c r="A693" s="47" t="s">
        <v>164</v>
      </c>
      <c r="B693" s="47" t="n">
        <v>3</v>
      </c>
      <c r="C693" s="47" t="s">
        <v>1677</v>
      </c>
      <c r="D693" s="47" t="s">
        <v>1678</v>
      </c>
      <c r="E693" s="47" t="s">
        <v>8</v>
      </c>
      <c r="F693" s="47" t="s">
        <v>367</v>
      </c>
      <c r="G693" s="97" t="s">
        <v>368</v>
      </c>
    </row>
    <row r="694" customFormat="false" ht="14.25" hidden="false" customHeight="false" outlineLevel="0" collapsed="false">
      <c r="A694" s="47" t="s">
        <v>164</v>
      </c>
      <c r="B694" s="47" t="n">
        <v>3</v>
      </c>
      <c r="C694" s="47" t="s">
        <v>1679</v>
      </c>
      <c r="D694" s="47" t="s">
        <v>1680</v>
      </c>
      <c r="E694" s="47" t="s">
        <v>8</v>
      </c>
      <c r="F694" s="47" t="s">
        <v>367</v>
      </c>
      <c r="G694" s="97" t="s">
        <v>368</v>
      </c>
    </row>
    <row r="695" customFormat="false" ht="14.25" hidden="false" customHeight="false" outlineLevel="0" collapsed="false">
      <c r="A695" s="47" t="s">
        <v>164</v>
      </c>
      <c r="B695" s="47" t="n">
        <v>3</v>
      </c>
      <c r="C695" s="47" t="s">
        <v>1681</v>
      </c>
      <c r="D695" s="47" t="s">
        <v>1682</v>
      </c>
      <c r="E695" s="47" t="s">
        <v>8</v>
      </c>
      <c r="F695" s="47" t="s">
        <v>374</v>
      </c>
      <c r="G695" s="97" t="s">
        <v>381</v>
      </c>
    </row>
    <row r="696" customFormat="false" ht="14.25" hidden="false" customHeight="false" outlineLevel="0" collapsed="false">
      <c r="A696" s="47" t="s">
        <v>164</v>
      </c>
      <c r="B696" s="47" t="n">
        <v>3</v>
      </c>
      <c r="C696" s="47" t="s">
        <v>1683</v>
      </c>
      <c r="D696" s="47" t="s">
        <v>1684</v>
      </c>
      <c r="E696" s="47" t="s">
        <v>8</v>
      </c>
      <c r="F696" s="47" t="s">
        <v>374</v>
      </c>
      <c r="G696" s="97" t="s">
        <v>381</v>
      </c>
    </row>
    <row r="697" customFormat="false" ht="14.25" hidden="false" customHeight="false" outlineLevel="0" collapsed="false">
      <c r="A697" s="47" t="s">
        <v>164</v>
      </c>
      <c r="B697" s="47" t="n">
        <v>3</v>
      </c>
      <c r="C697" s="47" t="s">
        <v>1685</v>
      </c>
      <c r="D697" s="47" t="s">
        <v>1686</v>
      </c>
      <c r="E697" s="47" t="s">
        <v>8</v>
      </c>
      <c r="F697" s="47" t="s">
        <v>374</v>
      </c>
      <c r="G697" s="97" t="s">
        <v>381</v>
      </c>
    </row>
    <row r="698" customFormat="false" ht="14.25" hidden="false" customHeight="false" outlineLevel="0" collapsed="false">
      <c r="A698" s="47" t="s">
        <v>164</v>
      </c>
      <c r="B698" s="47" t="n">
        <v>3</v>
      </c>
      <c r="C698" s="47" t="s">
        <v>1687</v>
      </c>
      <c r="D698" s="47" t="s">
        <v>1688</v>
      </c>
      <c r="E698" s="47" t="s">
        <v>8</v>
      </c>
      <c r="F698" s="47" t="s">
        <v>367</v>
      </c>
      <c r="G698" s="97" t="s">
        <v>368</v>
      </c>
    </row>
    <row r="699" customFormat="false" ht="14.25" hidden="false" customHeight="false" outlineLevel="0" collapsed="false">
      <c r="A699" s="47" t="s">
        <v>164</v>
      </c>
      <c r="B699" s="47" t="n">
        <v>3</v>
      </c>
      <c r="C699" s="47" t="s">
        <v>1689</v>
      </c>
      <c r="D699" s="47" t="s">
        <v>1690</v>
      </c>
      <c r="E699" s="47" t="s">
        <v>8</v>
      </c>
      <c r="F699" s="47" t="s">
        <v>367</v>
      </c>
      <c r="G699" s="97" t="s">
        <v>368</v>
      </c>
    </row>
    <row r="700" customFormat="false" ht="14.25" hidden="false" customHeight="false" outlineLevel="0" collapsed="false">
      <c r="A700" s="47" t="s">
        <v>164</v>
      </c>
      <c r="B700" s="47" t="n">
        <v>3</v>
      </c>
      <c r="C700" s="47" t="s">
        <v>1691</v>
      </c>
      <c r="D700" s="47" t="s">
        <v>1692</v>
      </c>
      <c r="E700" s="47" t="s">
        <v>8</v>
      </c>
      <c r="F700" s="47" t="s">
        <v>374</v>
      </c>
      <c r="G700" s="97" t="s">
        <v>392</v>
      </c>
    </row>
    <row r="701" customFormat="false" ht="14.25" hidden="false" customHeight="false" outlineLevel="0" collapsed="false">
      <c r="A701" s="47" t="s">
        <v>164</v>
      </c>
      <c r="B701" s="47" t="n">
        <v>3</v>
      </c>
      <c r="C701" s="47" t="s">
        <v>1693</v>
      </c>
      <c r="D701" s="47" t="s">
        <v>1694</v>
      </c>
      <c r="E701" s="47" t="s">
        <v>8</v>
      </c>
      <c r="F701" s="47" t="s">
        <v>367</v>
      </c>
      <c r="G701" s="97" t="s">
        <v>368</v>
      </c>
    </row>
    <row r="702" customFormat="false" ht="14.25" hidden="false" customHeight="false" outlineLevel="0" collapsed="false">
      <c r="A702" s="47" t="s">
        <v>164</v>
      </c>
      <c r="B702" s="47" t="n">
        <v>3</v>
      </c>
      <c r="C702" s="47" t="s">
        <v>1695</v>
      </c>
      <c r="D702" s="47" t="s">
        <v>1696</v>
      </c>
      <c r="E702" s="47" t="s">
        <v>8</v>
      </c>
      <c r="F702" s="47" t="s">
        <v>374</v>
      </c>
      <c r="G702" s="97" t="s">
        <v>392</v>
      </c>
    </row>
    <row r="703" customFormat="false" ht="14.25" hidden="false" customHeight="false" outlineLevel="0" collapsed="false">
      <c r="A703" s="47" t="s">
        <v>164</v>
      </c>
      <c r="B703" s="47" t="n">
        <v>3</v>
      </c>
      <c r="C703" s="47" t="s">
        <v>1697</v>
      </c>
      <c r="D703" s="47" t="s">
        <v>1698</v>
      </c>
      <c r="E703" s="47" t="s">
        <v>8</v>
      </c>
      <c r="F703" s="47" t="s">
        <v>374</v>
      </c>
      <c r="G703" s="97" t="s">
        <v>578</v>
      </c>
    </row>
    <row r="704" customFormat="false" ht="14.25" hidden="false" customHeight="false" outlineLevel="0" collapsed="false">
      <c r="A704" s="47" t="s">
        <v>164</v>
      </c>
      <c r="B704" s="47" t="n">
        <v>3</v>
      </c>
      <c r="C704" s="47" t="s">
        <v>1699</v>
      </c>
      <c r="D704" s="47" t="s">
        <v>1700</v>
      </c>
      <c r="E704" s="47" t="s">
        <v>8</v>
      </c>
      <c r="F704" s="47" t="s">
        <v>367</v>
      </c>
      <c r="G704" s="97" t="s">
        <v>368</v>
      </c>
    </row>
    <row r="705" customFormat="false" ht="14.25" hidden="false" customHeight="false" outlineLevel="0" collapsed="false">
      <c r="A705" s="47" t="s">
        <v>164</v>
      </c>
      <c r="B705" s="47" t="n">
        <v>3</v>
      </c>
      <c r="C705" s="47" t="s">
        <v>1701</v>
      </c>
      <c r="D705" s="47" t="s">
        <v>1702</v>
      </c>
      <c r="E705" s="47" t="s">
        <v>8</v>
      </c>
      <c r="F705" s="47" t="s">
        <v>374</v>
      </c>
      <c r="G705" s="97" t="s">
        <v>381</v>
      </c>
    </row>
    <row r="706" customFormat="false" ht="14.25" hidden="false" customHeight="false" outlineLevel="0" collapsed="false">
      <c r="A706" s="47" t="s">
        <v>164</v>
      </c>
      <c r="B706" s="47" t="n">
        <v>3</v>
      </c>
      <c r="C706" s="47" t="s">
        <v>1703</v>
      </c>
      <c r="D706" s="47" t="s">
        <v>1704</v>
      </c>
      <c r="E706" s="47" t="s">
        <v>8</v>
      </c>
      <c r="F706" s="47" t="s">
        <v>374</v>
      </c>
      <c r="G706" s="97" t="s">
        <v>381</v>
      </c>
    </row>
    <row r="707" customFormat="false" ht="14.25" hidden="false" customHeight="false" outlineLevel="0" collapsed="false">
      <c r="A707" s="47" t="s">
        <v>164</v>
      </c>
      <c r="B707" s="47" t="n">
        <v>3</v>
      </c>
      <c r="C707" s="47" t="s">
        <v>1705</v>
      </c>
      <c r="D707" s="47" t="s">
        <v>1706</v>
      </c>
      <c r="E707" s="47" t="s">
        <v>8</v>
      </c>
      <c r="F707" s="47" t="s">
        <v>367</v>
      </c>
      <c r="G707" s="97" t="s">
        <v>368</v>
      </c>
    </row>
    <row r="708" customFormat="false" ht="14.25" hidden="false" customHeight="false" outlineLevel="0" collapsed="false">
      <c r="A708" s="47" t="s">
        <v>164</v>
      </c>
      <c r="B708" s="47" t="n">
        <v>3</v>
      </c>
      <c r="C708" s="47" t="s">
        <v>1707</v>
      </c>
      <c r="D708" s="47" t="s">
        <v>1708</v>
      </c>
      <c r="E708" s="47" t="s">
        <v>8</v>
      </c>
      <c r="F708" s="47" t="s">
        <v>374</v>
      </c>
      <c r="G708" s="97" t="s">
        <v>381</v>
      </c>
    </row>
    <row r="709" customFormat="false" ht="14.25" hidden="false" customHeight="false" outlineLevel="0" collapsed="false">
      <c r="A709" s="47" t="s">
        <v>164</v>
      </c>
      <c r="B709" s="47" t="n">
        <v>3</v>
      </c>
      <c r="C709" s="47" t="s">
        <v>1709</v>
      </c>
      <c r="D709" s="47" t="s">
        <v>1710</v>
      </c>
      <c r="E709" s="47" t="s">
        <v>8</v>
      </c>
      <c r="F709" s="47" t="s">
        <v>367</v>
      </c>
      <c r="G709" s="97" t="s">
        <v>368</v>
      </c>
    </row>
    <row r="710" customFormat="false" ht="14.25" hidden="false" customHeight="false" outlineLevel="0" collapsed="false">
      <c r="A710" s="47" t="s">
        <v>164</v>
      </c>
      <c r="B710" s="47" t="n">
        <v>3</v>
      </c>
      <c r="C710" s="47" t="s">
        <v>1711</v>
      </c>
      <c r="D710" s="47" t="s">
        <v>877</v>
      </c>
      <c r="E710" s="47" t="s">
        <v>8</v>
      </c>
      <c r="F710" s="47" t="s">
        <v>374</v>
      </c>
      <c r="G710" s="97" t="s">
        <v>381</v>
      </c>
    </row>
    <row r="711" customFormat="false" ht="14.25" hidden="false" customHeight="false" outlineLevel="0" collapsed="false">
      <c r="A711" s="47" t="s">
        <v>164</v>
      </c>
      <c r="B711" s="47" t="n">
        <v>3</v>
      </c>
      <c r="C711" s="47" t="s">
        <v>1712</v>
      </c>
      <c r="D711" s="47" t="s">
        <v>1713</v>
      </c>
      <c r="E711" s="47" t="s">
        <v>8</v>
      </c>
      <c r="F711" s="47" t="s">
        <v>367</v>
      </c>
      <c r="G711" s="97" t="s">
        <v>368</v>
      </c>
    </row>
    <row r="712" customFormat="false" ht="14.25" hidden="false" customHeight="false" outlineLevel="0" collapsed="false">
      <c r="A712" s="47" t="s">
        <v>164</v>
      </c>
      <c r="B712" s="47" t="n">
        <v>3</v>
      </c>
      <c r="C712" s="47" t="s">
        <v>1714</v>
      </c>
      <c r="D712" s="47" t="s">
        <v>1715</v>
      </c>
      <c r="E712" s="47" t="s">
        <v>8</v>
      </c>
      <c r="F712" s="47" t="s">
        <v>367</v>
      </c>
      <c r="G712" s="97" t="s">
        <v>368</v>
      </c>
    </row>
    <row r="713" customFormat="false" ht="14.25" hidden="false" customHeight="false" outlineLevel="0" collapsed="false">
      <c r="A713" s="47" t="s">
        <v>164</v>
      </c>
      <c r="B713" s="47" t="n">
        <v>3</v>
      </c>
      <c r="C713" s="47" t="s">
        <v>1716</v>
      </c>
      <c r="D713" s="47" t="s">
        <v>1717</v>
      </c>
      <c r="E713" s="47" t="s">
        <v>8</v>
      </c>
      <c r="F713" s="47" t="s">
        <v>374</v>
      </c>
      <c r="G713" s="97" t="s">
        <v>371</v>
      </c>
    </row>
    <row r="714" customFormat="false" ht="14.25" hidden="false" customHeight="false" outlineLevel="0" collapsed="false">
      <c r="A714" s="47" t="s">
        <v>164</v>
      </c>
      <c r="B714" s="47" t="n">
        <v>3</v>
      </c>
      <c r="C714" s="47" t="s">
        <v>1718</v>
      </c>
      <c r="D714" s="47" t="s">
        <v>1719</v>
      </c>
      <c r="E714" s="47" t="s">
        <v>8</v>
      </c>
      <c r="F714" s="47" t="s">
        <v>367</v>
      </c>
      <c r="G714" s="97" t="s">
        <v>368</v>
      </c>
    </row>
    <row r="715" customFormat="false" ht="14.25" hidden="false" customHeight="false" outlineLevel="0" collapsed="false">
      <c r="A715" s="47" t="s">
        <v>164</v>
      </c>
      <c r="B715" s="47" t="n">
        <v>3</v>
      </c>
      <c r="C715" s="47" t="s">
        <v>1720</v>
      </c>
      <c r="D715" s="47" t="s">
        <v>1721</v>
      </c>
      <c r="E715" s="47" t="s">
        <v>8</v>
      </c>
      <c r="F715" s="47" t="s">
        <v>374</v>
      </c>
      <c r="G715" s="97" t="s">
        <v>578</v>
      </c>
    </row>
    <row r="716" customFormat="false" ht="14.25" hidden="false" customHeight="false" outlineLevel="0" collapsed="false">
      <c r="A716" s="47" t="s">
        <v>164</v>
      </c>
      <c r="B716" s="47" t="n">
        <v>3</v>
      </c>
      <c r="C716" s="47" t="s">
        <v>1722</v>
      </c>
      <c r="D716" s="47" t="s">
        <v>1723</v>
      </c>
      <c r="E716" s="47" t="s">
        <v>8</v>
      </c>
      <c r="F716" s="47" t="s">
        <v>367</v>
      </c>
      <c r="G716" s="97" t="s">
        <v>368</v>
      </c>
    </row>
    <row r="717" customFormat="false" ht="14.25" hidden="false" customHeight="false" outlineLevel="0" collapsed="false">
      <c r="A717" s="47" t="s">
        <v>164</v>
      </c>
      <c r="B717" s="47" t="n">
        <v>3</v>
      </c>
      <c r="C717" s="47" t="s">
        <v>1724</v>
      </c>
      <c r="D717" s="47" t="s">
        <v>1725</v>
      </c>
      <c r="E717" s="47" t="s">
        <v>8</v>
      </c>
      <c r="F717" s="47" t="s">
        <v>374</v>
      </c>
      <c r="G717" s="97" t="s">
        <v>381</v>
      </c>
    </row>
    <row r="718" customFormat="false" ht="14.25" hidden="false" customHeight="false" outlineLevel="0" collapsed="false">
      <c r="A718" s="47" t="s">
        <v>164</v>
      </c>
      <c r="B718" s="47" t="n">
        <v>3</v>
      </c>
      <c r="C718" s="47" t="s">
        <v>1726</v>
      </c>
      <c r="D718" s="47" t="s">
        <v>1727</v>
      </c>
      <c r="E718" s="47" t="s">
        <v>8</v>
      </c>
      <c r="F718" s="47" t="s">
        <v>374</v>
      </c>
      <c r="G718" s="97" t="s">
        <v>381</v>
      </c>
    </row>
    <row r="719" customFormat="false" ht="14.25" hidden="false" customHeight="false" outlineLevel="0" collapsed="false">
      <c r="A719" s="47" t="s">
        <v>164</v>
      </c>
      <c r="B719" s="47" t="n">
        <v>3</v>
      </c>
      <c r="C719" s="47" t="s">
        <v>1728</v>
      </c>
      <c r="D719" s="47" t="s">
        <v>1729</v>
      </c>
      <c r="E719" s="47" t="s">
        <v>8</v>
      </c>
      <c r="F719" s="47" t="s">
        <v>374</v>
      </c>
      <c r="G719" s="97" t="s">
        <v>381</v>
      </c>
    </row>
    <row r="720" customFormat="false" ht="14.25" hidden="false" customHeight="false" outlineLevel="0" collapsed="false">
      <c r="A720" s="47" t="s">
        <v>164</v>
      </c>
      <c r="B720" s="47" t="n">
        <v>3</v>
      </c>
      <c r="C720" s="47" t="s">
        <v>1730</v>
      </c>
      <c r="D720" s="47" t="s">
        <v>1731</v>
      </c>
      <c r="E720" s="47" t="s">
        <v>8</v>
      </c>
      <c r="F720" s="47" t="s">
        <v>367</v>
      </c>
      <c r="G720" s="97" t="s">
        <v>368</v>
      </c>
    </row>
    <row r="721" customFormat="false" ht="14.25" hidden="false" customHeight="false" outlineLevel="0" collapsed="false">
      <c r="A721" s="47" t="s">
        <v>164</v>
      </c>
      <c r="B721" s="47" t="n">
        <v>3</v>
      </c>
      <c r="C721" s="47" t="s">
        <v>1732</v>
      </c>
      <c r="D721" s="47" t="s">
        <v>1733</v>
      </c>
      <c r="E721" s="47" t="s">
        <v>8</v>
      </c>
      <c r="F721" s="47" t="s">
        <v>367</v>
      </c>
      <c r="G721" s="97" t="s">
        <v>368</v>
      </c>
    </row>
    <row r="722" customFormat="false" ht="14.25" hidden="false" customHeight="false" outlineLevel="0" collapsed="false">
      <c r="A722" s="47" t="s">
        <v>164</v>
      </c>
      <c r="B722" s="47" t="n">
        <v>3</v>
      </c>
      <c r="C722" s="47" t="s">
        <v>1734</v>
      </c>
      <c r="D722" s="47" t="s">
        <v>1735</v>
      </c>
      <c r="E722" s="47" t="s">
        <v>8</v>
      </c>
      <c r="F722" s="47" t="s">
        <v>374</v>
      </c>
      <c r="G722" s="97" t="s">
        <v>371</v>
      </c>
    </row>
    <row r="723" customFormat="false" ht="14.25" hidden="false" customHeight="false" outlineLevel="0" collapsed="false">
      <c r="A723" s="47" t="s">
        <v>164</v>
      </c>
      <c r="B723" s="47" t="n">
        <v>3</v>
      </c>
      <c r="C723" s="47" t="s">
        <v>1736</v>
      </c>
      <c r="D723" s="47" t="s">
        <v>1737</v>
      </c>
      <c r="E723" s="47" t="s">
        <v>8</v>
      </c>
      <c r="F723" s="47" t="s">
        <v>367</v>
      </c>
      <c r="G723" s="97" t="s">
        <v>368</v>
      </c>
    </row>
    <row r="724" customFormat="false" ht="14.25" hidden="false" customHeight="false" outlineLevel="0" collapsed="false">
      <c r="A724" s="47" t="s">
        <v>164</v>
      </c>
      <c r="B724" s="47" t="n">
        <v>3</v>
      </c>
      <c r="C724" s="47" t="s">
        <v>1738</v>
      </c>
      <c r="D724" s="47" t="s">
        <v>1739</v>
      </c>
      <c r="E724" s="47" t="s">
        <v>8</v>
      </c>
      <c r="F724" s="47" t="s">
        <v>374</v>
      </c>
      <c r="G724" s="97" t="s">
        <v>392</v>
      </c>
    </row>
    <row r="725" customFormat="false" ht="14.25" hidden="false" customHeight="false" outlineLevel="0" collapsed="false">
      <c r="A725" s="47" t="s">
        <v>164</v>
      </c>
      <c r="B725" s="47" t="n">
        <v>3</v>
      </c>
      <c r="C725" s="47" t="s">
        <v>1740</v>
      </c>
      <c r="D725" s="47" t="s">
        <v>1741</v>
      </c>
      <c r="E725" s="47" t="s">
        <v>8</v>
      </c>
      <c r="F725" s="47" t="s">
        <v>367</v>
      </c>
      <c r="G725" s="97" t="s">
        <v>368</v>
      </c>
    </row>
    <row r="726" customFormat="false" ht="14.25" hidden="false" customHeight="false" outlineLevel="0" collapsed="false">
      <c r="A726" s="47" t="s">
        <v>164</v>
      </c>
      <c r="B726" s="47" t="n">
        <v>3</v>
      </c>
      <c r="C726" s="47" t="s">
        <v>1742</v>
      </c>
      <c r="D726" s="47" t="s">
        <v>1743</v>
      </c>
      <c r="E726" s="47" t="s">
        <v>8</v>
      </c>
      <c r="F726" s="47" t="s">
        <v>374</v>
      </c>
      <c r="G726" s="97" t="s">
        <v>578</v>
      </c>
    </row>
    <row r="727" customFormat="false" ht="14.25" hidden="false" customHeight="false" outlineLevel="0" collapsed="false">
      <c r="A727" s="47" t="s">
        <v>164</v>
      </c>
      <c r="B727" s="47" t="n">
        <v>3</v>
      </c>
      <c r="C727" s="47" t="s">
        <v>1744</v>
      </c>
      <c r="D727" s="47" t="s">
        <v>1745</v>
      </c>
      <c r="E727" s="47" t="s">
        <v>8</v>
      </c>
      <c r="F727" s="47" t="s">
        <v>367</v>
      </c>
      <c r="G727" s="97" t="s">
        <v>368</v>
      </c>
    </row>
    <row r="728" customFormat="false" ht="14.25" hidden="false" customHeight="false" outlineLevel="0" collapsed="false">
      <c r="A728" s="47" t="s">
        <v>164</v>
      </c>
      <c r="B728" s="47" t="n">
        <v>3</v>
      </c>
      <c r="C728" s="47" t="s">
        <v>94</v>
      </c>
      <c r="D728" s="47" t="s">
        <v>1746</v>
      </c>
      <c r="E728" s="47" t="s">
        <v>8</v>
      </c>
      <c r="F728" s="47" t="s">
        <v>367</v>
      </c>
      <c r="G728" s="97" t="s">
        <v>368</v>
      </c>
    </row>
    <row r="729" customFormat="false" ht="14.25" hidden="false" customHeight="false" outlineLevel="0" collapsed="false">
      <c r="A729" s="47" t="s">
        <v>164</v>
      </c>
      <c r="B729" s="47" t="n">
        <v>3</v>
      </c>
      <c r="C729" s="47" t="s">
        <v>1747</v>
      </c>
      <c r="D729" s="47" t="s">
        <v>674</v>
      </c>
      <c r="E729" s="47" t="s">
        <v>8</v>
      </c>
      <c r="F729" s="47" t="s">
        <v>374</v>
      </c>
      <c r="G729" s="97" t="s">
        <v>368</v>
      </c>
    </row>
    <row r="730" customFormat="false" ht="14.25" hidden="false" customHeight="false" outlineLevel="0" collapsed="false">
      <c r="A730" s="47" t="s">
        <v>164</v>
      </c>
      <c r="B730" s="47" t="n">
        <v>3</v>
      </c>
      <c r="C730" s="47" t="s">
        <v>1748</v>
      </c>
      <c r="D730" s="47" t="s">
        <v>1749</v>
      </c>
      <c r="E730" s="47" t="s">
        <v>8</v>
      </c>
      <c r="F730" s="47" t="s">
        <v>374</v>
      </c>
      <c r="G730" s="97" t="s">
        <v>381</v>
      </c>
    </row>
    <row r="731" customFormat="false" ht="14.25" hidden="false" customHeight="false" outlineLevel="0" collapsed="false">
      <c r="A731" s="47" t="s">
        <v>164</v>
      </c>
      <c r="B731" s="47" t="n">
        <v>3</v>
      </c>
      <c r="C731" s="47" t="s">
        <v>1750</v>
      </c>
      <c r="D731" s="47" t="s">
        <v>1751</v>
      </c>
      <c r="E731" s="47" t="s">
        <v>8</v>
      </c>
      <c r="F731" s="47" t="s">
        <v>374</v>
      </c>
      <c r="G731" s="97" t="s">
        <v>381</v>
      </c>
    </row>
    <row r="732" customFormat="false" ht="14.25" hidden="false" customHeight="false" outlineLevel="0" collapsed="false">
      <c r="A732" s="47" t="s">
        <v>164</v>
      </c>
      <c r="B732" s="47" t="n">
        <v>3</v>
      </c>
      <c r="C732" s="47" t="s">
        <v>1752</v>
      </c>
      <c r="D732" s="47" t="s">
        <v>1753</v>
      </c>
      <c r="E732" s="47" t="s">
        <v>8</v>
      </c>
      <c r="F732" s="47" t="s">
        <v>367</v>
      </c>
      <c r="G732" s="97" t="s">
        <v>368</v>
      </c>
    </row>
    <row r="733" customFormat="false" ht="14.25" hidden="false" customHeight="false" outlineLevel="0" collapsed="false">
      <c r="A733" s="47" t="s">
        <v>164</v>
      </c>
      <c r="B733" s="47" t="n">
        <v>3</v>
      </c>
      <c r="C733" s="47" t="s">
        <v>1754</v>
      </c>
      <c r="D733" s="47" t="s">
        <v>1755</v>
      </c>
      <c r="E733" s="47" t="s">
        <v>8</v>
      </c>
      <c r="F733" s="47" t="s">
        <v>374</v>
      </c>
      <c r="G733" s="97" t="s">
        <v>392</v>
      </c>
    </row>
    <row r="734" customFormat="false" ht="14.25" hidden="false" customHeight="false" outlineLevel="0" collapsed="false">
      <c r="A734" s="47" t="s">
        <v>164</v>
      </c>
      <c r="B734" s="47" t="n">
        <v>3</v>
      </c>
      <c r="C734" s="47" t="s">
        <v>1756</v>
      </c>
      <c r="D734" s="47" t="s">
        <v>1757</v>
      </c>
      <c r="E734" s="47" t="s">
        <v>8</v>
      </c>
      <c r="F734" s="47" t="s">
        <v>374</v>
      </c>
      <c r="G734" s="97" t="s">
        <v>381</v>
      </c>
    </row>
    <row r="735" customFormat="false" ht="14.25" hidden="false" customHeight="false" outlineLevel="0" collapsed="false">
      <c r="A735" s="47" t="s">
        <v>164</v>
      </c>
      <c r="B735" s="47" t="n">
        <v>3</v>
      </c>
      <c r="C735" s="47" t="s">
        <v>1758</v>
      </c>
      <c r="D735" s="47" t="s">
        <v>1759</v>
      </c>
      <c r="E735" s="47" t="s">
        <v>8</v>
      </c>
      <c r="F735" s="47" t="s">
        <v>367</v>
      </c>
      <c r="G735" s="97" t="s">
        <v>368</v>
      </c>
    </row>
    <row r="736" customFormat="false" ht="14.25" hidden="false" customHeight="false" outlineLevel="0" collapsed="false">
      <c r="A736" s="47" t="s">
        <v>164</v>
      </c>
      <c r="B736" s="47" t="n">
        <v>3</v>
      </c>
      <c r="C736" s="47" t="s">
        <v>1760</v>
      </c>
      <c r="D736" s="47" t="s">
        <v>1113</v>
      </c>
      <c r="E736" s="47" t="s">
        <v>8</v>
      </c>
      <c r="F736" s="47" t="s">
        <v>367</v>
      </c>
      <c r="G736" s="97" t="s">
        <v>368</v>
      </c>
    </row>
    <row r="737" customFormat="false" ht="14.25" hidden="false" customHeight="false" outlineLevel="0" collapsed="false">
      <c r="A737" s="47" t="s">
        <v>164</v>
      </c>
      <c r="B737" s="47" t="n">
        <v>3</v>
      </c>
      <c r="C737" s="47" t="s">
        <v>1761</v>
      </c>
      <c r="D737" s="47" t="s">
        <v>1762</v>
      </c>
      <c r="E737" s="47" t="s">
        <v>8</v>
      </c>
      <c r="F737" s="47" t="s">
        <v>367</v>
      </c>
      <c r="G737" s="97" t="s">
        <v>368</v>
      </c>
    </row>
    <row r="738" customFormat="false" ht="14.25" hidden="false" customHeight="false" outlineLevel="0" collapsed="false">
      <c r="A738" s="47" t="s">
        <v>164</v>
      </c>
      <c r="B738" s="47" t="n">
        <v>3</v>
      </c>
      <c r="C738" s="47" t="s">
        <v>1763</v>
      </c>
      <c r="D738" s="47" t="s">
        <v>1764</v>
      </c>
      <c r="E738" s="47" t="s">
        <v>8</v>
      </c>
      <c r="F738" s="47" t="s">
        <v>367</v>
      </c>
      <c r="G738" s="97" t="s">
        <v>368</v>
      </c>
    </row>
    <row r="739" customFormat="false" ht="14.25" hidden="false" customHeight="false" outlineLevel="0" collapsed="false">
      <c r="A739" s="47" t="s">
        <v>164</v>
      </c>
      <c r="B739" s="47" t="n">
        <v>3</v>
      </c>
      <c r="C739" s="47" t="s">
        <v>1765</v>
      </c>
      <c r="D739" s="47" t="s">
        <v>1766</v>
      </c>
      <c r="E739" s="47" t="s">
        <v>8</v>
      </c>
      <c r="F739" s="47" t="s">
        <v>367</v>
      </c>
      <c r="G739" s="97" t="s">
        <v>368</v>
      </c>
    </row>
    <row r="740" customFormat="false" ht="14.25" hidden="false" customHeight="false" outlineLevel="0" collapsed="false">
      <c r="A740" s="47" t="s">
        <v>164</v>
      </c>
      <c r="B740" s="47" t="n">
        <v>3</v>
      </c>
      <c r="C740" s="47" t="s">
        <v>1767</v>
      </c>
      <c r="D740" s="47" t="s">
        <v>1768</v>
      </c>
      <c r="E740" s="47" t="s">
        <v>8</v>
      </c>
      <c r="F740" s="47" t="s">
        <v>367</v>
      </c>
      <c r="G740" s="97" t="s">
        <v>368</v>
      </c>
    </row>
    <row r="741" customFormat="false" ht="14.25" hidden="false" customHeight="false" outlineLevel="0" collapsed="false">
      <c r="A741" s="47" t="s">
        <v>164</v>
      </c>
      <c r="B741" s="47" t="n">
        <v>3</v>
      </c>
      <c r="C741" s="47" t="s">
        <v>1769</v>
      </c>
      <c r="D741" s="47" t="s">
        <v>1770</v>
      </c>
      <c r="E741" s="47" t="s">
        <v>8</v>
      </c>
      <c r="F741" s="47" t="s">
        <v>374</v>
      </c>
      <c r="G741" s="97" t="s">
        <v>381</v>
      </c>
    </row>
    <row r="742" customFormat="false" ht="14.25" hidden="false" customHeight="false" outlineLevel="0" collapsed="false">
      <c r="A742" s="47" t="s">
        <v>164</v>
      </c>
      <c r="B742" s="47" t="n">
        <v>3</v>
      </c>
      <c r="C742" s="47" t="s">
        <v>1771</v>
      </c>
      <c r="D742" s="47" t="s">
        <v>1772</v>
      </c>
      <c r="E742" s="47" t="s">
        <v>8</v>
      </c>
      <c r="F742" s="47" t="s">
        <v>374</v>
      </c>
      <c r="G742" s="97" t="s">
        <v>381</v>
      </c>
    </row>
    <row r="743" customFormat="false" ht="14.25" hidden="false" customHeight="false" outlineLevel="0" collapsed="false">
      <c r="A743" s="47" t="s">
        <v>164</v>
      </c>
      <c r="B743" s="47" t="n">
        <v>3</v>
      </c>
      <c r="C743" s="47" t="s">
        <v>1773</v>
      </c>
      <c r="D743" s="47" t="s">
        <v>1774</v>
      </c>
      <c r="E743" s="47" t="s">
        <v>8</v>
      </c>
      <c r="F743" s="47" t="s">
        <v>374</v>
      </c>
      <c r="G743" s="97" t="s">
        <v>381</v>
      </c>
    </row>
    <row r="744" customFormat="false" ht="14.25" hidden="false" customHeight="false" outlineLevel="0" collapsed="false">
      <c r="A744" s="47" t="s">
        <v>164</v>
      </c>
      <c r="B744" s="47" t="n">
        <v>3</v>
      </c>
      <c r="C744" s="47" t="s">
        <v>1775</v>
      </c>
      <c r="D744" s="47" t="s">
        <v>1776</v>
      </c>
      <c r="E744" s="47" t="s">
        <v>8</v>
      </c>
      <c r="F744" s="47" t="s">
        <v>367</v>
      </c>
      <c r="G744" s="97" t="s">
        <v>368</v>
      </c>
    </row>
    <row r="745" customFormat="false" ht="14.25" hidden="false" customHeight="false" outlineLevel="0" collapsed="false">
      <c r="A745" s="47" t="s">
        <v>164</v>
      </c>
      <c r="B745" s="47" t="n">
        <v>3</v>
      </c>
      <c r="C745" s="47" t="s">
        <v>1777</v>
      </c>
      <c r="D745" s="47" t="s">
        <v>1778</v>
      </c>
      <c r="E745" s="47" t="s">
        <v>8</v>
      </c>
      <c r="F745" s="47" t="s">
        <v>367</v>
      </c>
      <c r="G745" s="97" t="s">
        <v>368</v>
      </c>
    </row>
    <row r="746" customFormat="false" ht="14.25" hidden="false" customHeight="false" outlineLevel="0" collapsed="false">
      <c r="A746" s="47" t="s">
        <v>164</v>
      </c>
      <c r="B746" s="47" t="n">
        <v>3</v>
      </c>
      <c r="C746" s="47" t="s">
        <v>1779</v>
      </c>
      <c r="D746" s="47" t="s">
        <v>1780</v>
      </c>
      <c r="E746" s="47" t="s">
        <v>8</v>
      </c>
      <c r="F746" s="47" t="s">
        <v>367</v>
      </c>
      <c r="G746" s="97" t="s">
        <v>368</v>
      </c>
    </row>
    <row r="747" customFormat="false" ht="14.25" hidden="false" customHeight="false" outlineLevel="0" collapsed="false">
      <c r="A747" s="47" t="s">
        <v>164</v>
      </c>
      <c r="B747" s="47" t="n">
        <v>3</v>
      </c>
      <c r="C747" s="47" t="s">
        <v>221</v>
      </c>
      <c r="D747" s="47" t="s">
        <v>1781</v>
      </c>
      <c r="E747" s="47" t="s">
        <v>8</v>
      </c>
      <c r="F747" s="47" t="s">
        <v>367</v>
      </c>
      <c r="G747" s="97" t="s">
        <v>368</v>
      </c>
    </row>
    <row r="748" customFormat="false" ht="14.25" hidden="false" customHeight="false" outlineLevel="0" collapsed="false">
      <c r="A748" s="47" t="s">
        <v>164</v>
      </c>
      <c r="B748" s="47" t="n">
        <v>3</v>
      </c>
      <c r="C748" s="47" t="s">
        <v>1782</v>
      </c>
      <c r="D748" s="47" t="s">
        <v>1783</v>
      </c>
      <c r="E748" s="47" t="s">
        <v>8</v>
      </c>
      <c r="F748" s="47" t="s">
        <v>367</v>
      </c>
      <c r="G748" s="97" t="s">
        <v>368</v>
      </c>
    </row>
    <row r="749" customFormat="false" ht="14.25" hidden="false" customHeight="false" outlineLevel="0" collapsed="false">
      <c r="A749" s="47" t="s">
        <v>164</v>
      </c>
      <c r="B749" s="47" t="n">
        <v>3</v>
      </c>
      <c r="C749" s="47" t="s">
        <v>1784</v>
      </c>
      <c r="D749" s="47" t="s">
        <v>1785</v>
      </c>
      <c r="E749" s="47" t="s">
        <v>8</v>
      </c>
      <c r="F749" s="47" t="s">
        <v>367</v>
      </c>
      <c r="G749" s="97" t="s">
        <v>368</v>
      </c>
    </row>
    <row r="750" customFormat="false" ht="14.25" hidden="false" customHeight="false" outlineLevel="0" collapsed="false">
      <c r="A750" s="47" t="s">
        <v>164</v>
      </c>
      <c r="B750" s="47" t="n">
        <v>3</v>
      </c>
      <c r="C750" s="47" t="s">
        <v>1786</v>
      </c>
      <c r="D750" s="47" t="s">
        <v>1787</v>
      </c>
      <c r="E750" s="47" t="s">
        <v>8</v>
      </c>
      <c r="F750" s="47" t="s">
        <v>367</v>
      </c>
      <c r="G750" s="97" t="s">
        <v>368</v>
      </c>
    </row>
    <row r="751" customFormat="false" ht="14.25" hidden="false" customHeight="false" outlineLevel="0" collapsed="false">
      <c r="A751" s="47" t="s">
        <v>164</v>
      </c>
      <c r="B751" s="47" t="n">
        <v>3</v>
      </c>
      <c r="C751" s="47" t="s">
        <v>1788</v>
      </c>
      <c r="D751" s="47" t="s">
        <v>1789</v>
      </c>
      <c r="E751" s="47" t="s">
        <v>8</v>
      </c>
      <c r="F751" s="47" t="s">
        <v>367</v>
      </c>
      <c r="G751" s="97" t="s">
        <v>368</v>
      </c>
    </row>
    <row r="752" customFormat="false" ht="14.25" hidden="false" customHeight="false" outlineLevel="0" collapsed="false">
      <c r="A752" s="47" t="s">
        <v>164</v>
      </c>
      <c r="B752" s="47" t="n">
        <v>3</v>
      </c>
      <c r="C752" s="47" t="s">
        <v>1790</v>
      </c>
      <c r="D752" s="47" t="s">
        <v>1791</v>
      </c>
      <c r="E752" s="47" t="s">
        <v>8</v>
      </c>
      <c r="F752" s="47" t="s">
        <v>367</v>
      </c>
      <c r="G752" s="97" t="s">
        <v>368</v>
      </c>
    </row>
    <row r="753" customFormat="false" ht="14.25" hidden="false" customHeight="false" outlineLevel="0" collapsed="false">
      <c r="A753" s="47" t="s">
        <v>164</v>
      </c>
      <c r="B753" s="47" t="n">
        <v>3</v>
      </c>
      <c r="C753" s="47" t="s">
        <v>1792</v>
      </c>
      <c r="D753" s="47" t="s">
        <v>1793</v>
      </c>
      <c r="E753" s="47" t="s">
        <v>8</v>
      </c>
      <c r="F753" s="47" t="s">
        <v>367</v>
      </c>
      <c r="G753" s="97" t="s">
        <v>368</v>
      </c>
    </row>
    <row r="754" customFormat="false" ht="14.25" hidden="false" customHeight="false" outlineLevel="0" collapsed="false">
      <c r="A754" s="47" t="s">
        <v>164</v>
      </c>
      <c r="B754" s="47" t="n">
        <v>3</v>
      </c>
      <c r="C754" s="47" t="s">
        <v>1794</v>
      </c>
      <c r="D754" s="47" t="s">
        <v>1795</v>
      </c>
      <c r="E754" s="47" t="s">
        <v>8</v>
      </c>
      <c r="F754" s="47" t="s">
        <v>367</v>
      </c>
      <c r="G754" s="97" t="s">
        <v>368</v>
      </c>
    </row>
    <row r="755" customFormat="false" ht="14.25" hidden="false" customHeight="false" outlineLevel="0" collapsed="false">
      <c r="A755" s="47" t="s">
        <v>164</v>
      </c>
      <c r="B755" s="47" t="n">
        <v>3</v>
      </c>
      <c r="C755" s="47" t="s">
        <v>1796</v>
      </c>
      <c r="D755" s="47" t="s">
        <v>1797</v>
      </c>
      <c r="E755" s="47" t="s">
        <v>8</v>
      </c>
      <c r="F755" s="47" t="s">
        <v>367</v>
      </c>
      <c r="G755" s="97" t="s">
        <v>368</v>
      </c>
    </row>
    <row r="756" customFormat="false" ht="14.25" hidden="false" customHeight="false" outlineLevel="0" collapsed="false">
      <c r="A756" s="47" t="s">
        <v>164</v>
      </c>
      <c r="B756" s="47" t="n">
        <v>3</v>
      </c>
      <c r="C756" s="47" t="s">
        <v>1798</v>
      </c>
      <c r="D756" s="47" t="s">
        <v>1799</v>
      </c>
      <c r="E756" s="47" t="s">
        <v>8</v>
      </c>
      <c r="F756" s="47" t="s">
        <v>367</v>
      </c>
      <c r="G756" s="97" t="s">
        <v>368</v>
      </c>
    </row>
    <row r="757" customFormat="false" ht="14.25" hidden="false" customHeight="false" outlineLevel="0" collapsed="false">
      <c r="A757" s="47" t="s">
        <v>164</v>
      </c>
      <c r="B757" s="47" t="n">
        <v>3</v>
      </c>
      <c r="C757" s="47" t="s">
        <v>1800</v>
      </c>
      <c r="D757" s="47" t="s">
        <v>1801</v>
      </c>
      <c r="E757" s="47" t="s">
        <v>8</v>
      </c>
      <c r="F757" s="47" t="s">
        <v>367</v>
      </c>
      <c r="G757" s="97" t="s">
        <v>368</v>
      </c>
    </row>
    <row r="758" customFormat="false" ht="14.25" hidden="false" customHeight="false" outlineLevel="0" collapsed="false">
      <c r="A758" s="47" t="s">
        <v>164</v>
      </c>
      <c r="B758" s="47" t="n">
        <v>3</v>
      </c>
      <c r="C758" s="47" t="s">
        <v>1802</v>
      </c>
      <c r="D758" s="47" t="s">
        <v>1803</v>
      </c>
      <c r="E758" s="47" t="s">
        <v>8</v>
      </c>
      <c r="F758" s="47" t="s">
        <v>374</v>
      </c>
      <c r="G758" s="97" t="s">
        <v>578</v>
      </c>
    </row>
    <row r="759" customFormat="false" ht="14.25" hidden="false" customHeight="false" outlineLevel="0" collapsed="false">
      <c r="A759" s="47" t="s">
        <v>164</v>
      </c>
      <c r="B759" s="47" t="n">
        <v>3</v>
      </c>
      <c r="C759" s="47" t="s">
        <v>1804</v>
      </c>
      <c r="D759" s="47" t="s">
        <v>1805</v>
      </c>
      <c r="E759" s="47" t="s">
        <v>8</v>
      </c>
      <c r="F759" s="47" t="s">
        <v>367</v>
      </c>
      <c r="G759" s="97" t="s">
        <v>368</v>
      </c>
    </row>
    <row r="760" customFormat="false" ht="14.25" hidden="false" customHeight="false" outlineLevel="0" collapsed="false">
      <c r="A760" s="47" t="s">
        <v>164</v>
      </c>
      <c r="B760" s="47" t="n">
        <v>3</v>
      </c>
      <c r="C760" s="47" t="s">
        <v>1806</v>
      </c>
      <c r="D760" s="47" t="s">
        <v>1807</v>
      </c>
      <c r="E760" s="47" t="s">
        <v>8</v>
      </c>
      <c r="F760" s="47" t="s">
        <v>367</v>
      </c>
      <c r="G760" s="97" t="s">
        <v>368</v>
      </c>
    </row>
    <row r="761" customFormat="false" ht="14.25" hidden="false" customHeight="false" outlineLevel="0" collapsed="false">
      <c r="A761" s="47" t="s">
        <v>226</v>
      </c>
      <c r="B761" s="47" t="n">
        <v>1</v>
      </c>
      <c r="C761" s="47" t="s">
        <v>1808</v>
      </c>
      <c r="D761" s="47" t="s">
        <v>1809</v>
      </c>
      <c r="E761" s="47" t="s">
        <v>8</v>
      </c>
      <c r="F761" s="47" t="s">
        <v>374</v>
      </c>
      <c r="G761" s="97" t="s">
        <v>381</v>
      </c>
    </row>
    <row r="762" customFormat="false" ht="14.25" hidden="false" customHeight="false" outlineLevel="0" collapsed="false">
      <c r="A762" s="47" t="s">
        <v>226</v>
      </c>
      <c r="B762" s="47" t="n">
        <v>1</v>
      </c>
      <c r="C762" s="47" t="s">
        <v>1810</v>
      </c>
      <c r="D762" s="47" t="s">
        <v>1811</v>
      </c>
      <c r="E762" s="47" t="s">
        <v>8</v>
      </c>
      <c r="F762" s="47" t="s">
        <v>374</v>
      </c>
      <c r="G762" s="97" t="s">
        <v>371</v>
      </c>
    </row>
    <row r="763" customFormat="false" ht="14.25" hidden="false" customHeight="false" outlineLevel="0" collapsed="false">
      <c r="A763" s="47" t="s">
        <v>226</v>
      </c>
      <c r="B763" s="47" t="n">
        <v>1</v>
      </c>
      <c r="C763" s="47" t="s">
        <v>1812</v>
      </c>
      <c r="D763" s="47" t="s">
        <v>1813</v>
      </c>
      <c r="E763" s="47" t="s">
        <v>8</v>
      </c>
      <c r="F763" s="47" t="s">
        <v>374</v>
      </c>
      <c r="G763" s="97" t="s">
        <v>381</v>
      </c>
    </row>
    <row r="764" customFormat="false" ht="14.25" hidden="false" customHeight="false" outlineLevel="0" collapsed="false">
      <c r="A764" s="47" t="s">
        <v>226</v>
      </c>
      <c r="B764" s="47" t="n">
        <v>1</v>
      </c>
      <c r="C764" s="47" t="s">
        <v>1814</v>
      </c>
      <c r="D764" s="47" t="s">
        <v>1815</v>
      </c>
      <c r="E764" s="47" t="s">
        <v>8</v>
      </c>
      <c r="F764" s="47" t="s">
        <v>374</v>
      </c>
      <c r="G764" s="97" t="s">
        <v>381</v>
      </c>
    </row>
    <row r="765" customFormat="false" ht="14.25" hidden="false" customHeight="false" outlineLevel="0" collapsed="false">
      <c r="A765" s="47" t="s">
        <v>226</v>
      </c>
      <c r="B765" s="47" t="n">
        <v>1</v>
      </c>
      <c r="C765" s="47" t="s">
        <v>1816</v>
      </c>
      <c r="D765" s="47" t="s">
        <v>1817</v>
      </c>
      <c r="E765" s="47" t="s">
        <v>8</v>
      </c>
      <c r="F765" s="47" t="s">
        <v>374</v>
      </c>
      <c r="G765" s="97" t="s">
        <v>381</v>
      </c>
    </row>
    <row r="766" customFormat="false" ht="14.25" hidden="false" customHeight="false" outlineLevel="0" collapsed="false">
      <c r="A766" s="47" t="s">
        <v>226</v>
      </c>
      <c r="B766" s="47" t="n">
        <v>1</v>
      </c>
      <c r="C766" s="47" t="s">
        <v>1818</v>
      </c>
      <c r="D766" s="47" t="s">
        <v>1819</v>
      </c>
      <c r="E766" s="47" t="s">
        <v>8</v>
      </c>
      <c r="F766" s="47" t="s">
        <v>374</v>
      </c>
      <c r="G766" s="97" t="s">
        <v>381</v>
      </c>
    </row>
    <row r="767" customFormat="false" ht="14.25" hidden="false" customHeight="false" outlineLevel="0" collapsed="false">
      <c r="A767" s="47" t="s">
        <v>226</v>
      </c>
      <c r="B767" s="47" t="n">
        <v>1</v>
      </c>
      <c r="C767" s="47" t="s">
        <v>1820</v>
      </c>
      <c r="D767" s="47" t="s">
        <v>1821</v>
      </c>
      <c r="E767" s="47" t="s">
        <v>8</v>
      </c>
      <c r="F767" s="47" t="s">
        <v>374</v>
      </c>
      <c r="G767" s="97" t="s">
        <v>392</v>
      </c>
    </row>
    <row r="768" customFormat="false" ht="14.25" hidden="false" customHeight="false" outlineLevel="0" collapsed="false">
      <c r="A768" s="47" t="s">
        <v>226</v>
      </c>
      <c r="B768" s="47" t="n">
        <v>1</v>
      </c>
      <c r="C768" s="47" t="s">
        <v>1822</v>
      </c>
      <c r="D768" s="47" t="s">
        <v>1823</v>
      </c>
      <c r="E768" s="47" t="s">
        <v>8</v>
      </c>
      <c r="F768" s="47" t="s">
        <v>374</v>
      </c>
      <c r="G768" s="97" t="s">
        <v>381</v>
      </c>
    </row>
    <row r="769" customFormat="false" ht="14.25" hidden="false" customHeight="false" outlineLevel="0" collapsed="false">
      <c r="A769" s="47" t="s">
        <v>226</v>
      </c>
      <c r="B769" s="47" t="n">
        <v>1</v>
      </c>
      <c r="C769" s="47" t="s">
        <v>1824</v>
      </c>
      <c r="D769" s="47" t="s">
        <v>1825</v>
      </c>
      <c r="E769" s="47" t="s">
        <v>8</v>
      </c>
      <c r="F769" s="47" t="s">
        <v>367</v>
      </c>
      <c r="G769" s="97" t="s">
        <v>368</v>
      </c>
    </row>
    <row r="770" customFormat="false" ht="14.25" hidden="false" customHeight="false" outlineLevel="0" collapsed="false">
      <c r="A770" s="47" t="s">
        <v>226</v>
      </c>
      <c r="B770" s="47" t="n">
        <v>1</v>
      </c>
      <c r="C770" s="47" t="s">
        <v>1826</v>
      </c>
      <c r="D770" s="47" t="s">
        <v>1827</v>
      </c>
      <c r="E770" s="47" t="s">
        <v>8</v>
      </c>
      <c r="F770" s="47" t="s">
        <v>367</v>
      </c>
      <c r="G770" s="97" t="s">
        <v>368</v>
      </c>
    </row>
    <row r="771" customFormat="false" ht="14.25" hidden="false" customHeight="false" outlineLevel="0" collapsed="false">
      <c r="A771" s="47" t="s">
        <v>226</v>
      </c>
      <c r="B771" s="47" t="n">
        <v>1</v>
      </c>
      <c r="C771" s="47" t="s">
        <v>1828</v>
      </c>
      <c r="D771" s="47" t="s">
        <v>1829</v>
      </c>
      <c r="E771" s="47" t="s">
        <v>8</v>
      </c>
      <c r="F771" s="47" t="s">
        <v>367</v>
      </c>
      <c r="G771" s="97" t="s">
        <v>368</v>
      </c>
    </row>
    <row r="772" customFormat="false" ht="14.25" hidden="false" customHeight="false" outlineLevel="0" collapsed="false">
      <c r="A772" s="47" t="s">
        <v>226</v>
      </c>
      <c r="B772" s="47" t="n">
        <v>1</v>
      </c>
      <c r="C772" s="47" t="s">
        <v>1830</v>
      </c>
      <c r="D772" s="47" t="s">
        <v>582</v>
      </c>
      <c r="E772" s="47" t="s">
        <v>8</v>
      </c>
      <c r="F772" s="47" t="s">
        <v>374</v>
      </c>
      <c r="G772" s="97" t="s">
        <v>392</v>
      </c>
    </row>
    <row r="773" customFormat="false" ht="14.25" hidden="false" customHeight="false" outlineLevel="0" collapsed="false">
      <c r="A773" s="47" t="s">
        <v>226</v>
      </c>
      <c r="B773" s="47" t="n">
        <v>1</v>
      </c>
      <c r="C773" s="47" t="s">
        <v>227</v>
      </c>
      <c r="D773" s="47" t="s">
        <v>1831</v>
      </c>
      <c r="E773" s="47" t="s">
        <v>8</v>
      </c>
      <c r="F773" s="47" t="s">
        <v>374</v>
      </c>
      <c r="G773" s="97" t="s">
        <v>381</v>
      </c>
    </row>
    <row r="774" customFormat="false" ht="14.25" hidden="false" customHeight="false" outlineLevel="0" collapsed="false">
      <c r="A774" s="47" t="s">
        <v>226</v>
      </c>
      <c r="B774" s="47" t="n">
        <v>1</v>
      </c>
      <c r="C774" s="47" t="s">
        <v>1832</v>
      </c>
      <c r="D774" s="47" t="s">
        <v>1833</v>
      </c>
      <c r="E774" s="47" t="s">
        <v>8</v>
      </c>
      <c r="F774" s="47" t="s">
        <v>374</v>
      </c>
      <c r="G774" s="97" t="s">
        <v>381</v>
      </c>
    </row>
    <row r="775" customFormat="false" ht="14.25" hidden="false" customHeight="false" outlineLevel="0" collapsed="false">
      <c r="A775" s="47" t="s">
        <v>226</v>
      </c>
      <c r="B775" s="47" t="n">
        <v>1</v>
      </c>
      <c r="C775" s="47" t="s">
        <v>1834</v>
      </c>
      <c r="D775" s="47" t="s">
        <v>1835</v>
      </c>
      <c r="E775" s="47" t="s">
        <v>8</v>
      </c>
      <c r="F775" s="47" t="s">
        <v>374</v>
      </c>
      <c r="G775" s="97" t="s">
        <v>392</v>
      </c>
    </row>
    <row r="776" customFormat="false" ht="14.25" hidden="false" customHeight="false" outlineLevel="0" collapsed="false">
      <c r="A776" s="47" t="s">
        <v>226</v>
      </c>
      <c r="B776" s="47" t="n">
        <v>1</v>
      </c>
      <c r="C776" s="47" t="s">
        <v>1836</v>
      </c>
      <c r="D776" s="47" t="s">
        <v>1837</v>
      </c>
      <c r="E776" s="47" t="s">
        <v>8</v>
      </c>
      <c r="F776" s="47" t="s">
        <v>374</v>
      </c>
      <c r="G776" s="97" t="s">
        <v>392</v>
      </c>
    </row>
    <row r="777" customFormat="false" ht="14.25" hidden="false" customHeight="false" outlineLevel="0" collapsed="false">
      <c r="A777" s="47" t="s">
        <v>226</v>
      </c>
      <c r="B777" s="47" t="n">
        <v>1</v>
      </c>
      <c r="C777" s="47" t="s">
        <v>1838</v>
      </c>
      <c r="D777" s="47" t="s">
        <v>1839</v>
      </c>
      <c r="E777" s="47" t="s">
        <v>8</v>
      </c>
      <c r="F777" s="47" t="s">
        <v>374</v>
      </c>
      <c r="G777" s="97" t="s">
        <v>381</v>
      </c>
    </row>
    <row r="778" customFormat="false" ht="14.25" hidden="false" customHeight="false" outlineLevel="0" collapsed="false">
      <c r="A778" s="47" t="s">
        <v>226</v>
      </c>
      <c r="B778" s="47" t="n">
        <v>1</v>
      </c>
      <c r="C778" s="47" t="s">
        <v>1840</v>
      </c>
      <c r="D778" s="47" t="s">
        <v>1841</v>
      </c>
      <c r="E778" s="47" t="s">
        <v>8</v>
      </c>
      <c r="F778" s="47" t="s">
        <v>367</v>
      </c>
      <c r="G778" s="97" t="s">
        <v>368</v>
      </c>
    </row>
    <row r="779" customFormat="false" ht="14.25" hidden="false" customHeight="false" outlineLevel="0" collapsed="false">
      <c r="A779" s="47" t="s">
        <v>226</v>
      </c>
      <c r="B779" s="47" t="n">
        <v>1</v>
      </c>
      <c r="C779" s="47" t="s">
        <v>1842</v>
      </c>
      <c r="D779" s="47" t="s">
        <v>1843</v>
      </c>
      <c r="E779" s="47" t="s">
        <v>8</v>
      </c>
      <c r="F779" s="47" t="s">
        <v>374</v>
      </c>
      <c r="G779" s="97" t="s">
        <v>371</v>
      </c>
    </row>
    <row r="780" customFormat="false" ht="14.25" hidden="false" customHeight="false" outlineLevel="0" collapsed="false">
      <c r="A780" s="47" t="s">
        <v>226</v>
      </c>
      <c r="B780" s="47" t="n">
        <v>1</v>
      </c>
      <c r="C780" s="47" t="s">
        <v>1844</v>
      </c>
      <c r="D780" s="47" t="s">
        <v>1845</v>
      </c>
      <c r="E780" s="47" t="s">
        <v>8</v>
      </c>
      <c r="F780" s="47" t="s">
        <v>367</v>
      </c>
      <c r="G780" s="97" t="s">
        <v>368</v>
      </c>
    </row>
    <row r="781" customFormat="false" ht="14.25" hidden="false" customHeight="false" outlineLevel="0" collapsed="false">
      <c r="A781" s="47" t="s">
        <v>226</v>
      </c>
      <c r="B781" s="47" t="n">
        <v>1</v>
      </c>
      <c r="C781" s="47" t="s">
        <v>1846</v>
      </c>
      <c r="D781" s="47" t="s">
        <v>1847</v>
      </c>
      <c r="E781" s="47" t="s">
        <v>8</v>
      </c>
      <c r="F781" s="47" t="s">
        <v>367</v>
      </c>
      <c r="G781" s="97" t="s">
        <v>368</v>
      </c>
    </row>
    <row r="782" customFormat="false" ht="14.25" hidden="false" customHeight="false" outlineLevel="0" collapsed="false">
      <c r="A782" s="47" t="s">
        <v>226</v>
      </c>
      <c r="B782" s="47" t="n">
        <v>1</v>
      </c>
      <c r="C782" s="47" t="s">
        <v>1848</v>
      </c>
      <c r="D782" s="47" t="s">
        <v>419</v>
      </c>
      <c r="E782" s="47" t="s">
        <v>8</v>
      </c>
      <c r="F782" s="47" t="s">
        <v>367</v>
      </c>
      <c r="G782" s="97" t="s">
        <v>368</v>
      </c>
    </row>
    <row r="783" customFormat="false" ht="14.25" hidden="false" customHeight="false" outlineLevel="0" collapsed="false">
      <c r="A783" s="47" t="s">
        <v>226</v>
      </c>
      <c r="B783" s="47" t="n">
        <v>1</v>
      </c>
      <c r="C783" s="47" t="s">
        <v>1849</v>
      </c>
      <c r="D783" s="47" t="s">
        <v>1850</v>
      </c>
      <c r="E783" s="47" t="s">
        <v>8</v>
      </c>
      <c r="F783" s="47" t="s">
        <v>367</v>
      </c>
      <c r="G783" s="97" t="s">
        <v>368</v>
      </c>
    </row>
    <row r="784" customFormat="false" ht="14.25" hidden="false" customHeight="false" outlineLevel="0" collapsed="false">
      <c r="A784" s="47" t="s">
        <v>226</v>
      </c>
      <c r="B784" s="47" t="n">
        <v>1</v>
      </c>
      <c r="C784" s="47" t="s">
        <v>1851</v>
      </c>
      <c r="D784" s="47" t="s">
        <v>456</v>
      </c>
      <c r="E784" s="47" t="s">
        <v>8</v>
      </c>
      <c r="F784" s="47" t="s">
        <v>374</v>
      </c>
      <c r="G784" s="97" t="s">
        <v>578</v>
      </c>
    </row>
    <row r="785" customFormat="false" ht="14.25" hidden="false" customHeight="false" outlineLevel="0" collapsed="false">
      <c r="A785" s="47" t="s">
        <v>226</v>
      </c>
      <c r="B785" s="47" t="n">
        <v>1</v>
      </c>
      <c r="C785" s="47" t="s">
        <v>1852</v>
      </c>
      <c r="D785" s="47" t="s">
        <v>1853</v>
      </c>
      <c r="E785" s="47" t="s">
        <v>8</v>
      </c>
      <c r="F785" s="47" t="s">
        <v>374</v>
      </c>
      <c r="G785" s="97" t="s">
        <v>381</v>
      </c>
    </row>
    <row r="786" customFormat="false" ht="14.25" hidden="false" customHeight="false" outlineLevel="0" collapsed="false">
      <c r="A786" s="47" t="s">
        <v>226</v>
      </c>
      <c r="B786" s="47" t="n">
        <v>1</v>
      </c>
      <c r="C786" s="47" t="s">
        <v>1854</v>
      </c>
      <c r="D786" s="47" t="s">
        <v>1855</v>
      </c>
      <c r="E786" s="47" t="s">
        <v>8</v>
      </c>
      <c r="F786" s="47" t="s">
        <v>374</v>
      </c>
      <c r="G786" s="97" t="s">
        <v>381</v>
      </c>
    </row>
    <row r="787" customFormat="false" ht="14.25" hidden="false" customHeight="false" outlineLevel="0" collapsed="false">
      <c r="A787" s="47" t="s">
        <v>226</v>
      </c>
      <c r="B787" s="47" t="n">
        <v>1</v>
      </c>
      <c r="C787" s="47" t="s">
        <v>1856</v>
      </c>
      <c r="D787" s="47" t="s">
        <v>839</v>
      </c>
      <c r="E787" s="47" t="s">
        <v>8</v>
      </c>
      <c r="F787" s="47" t="s">
        <v>367</v>
      </c>
      <c r="G787" s="97" t="s">
        <v>368</v>
      </c>
    </row>
    <row r="788" customFormat="false" ht="14.25" hidden="false" customHeight="false" outlineLevel="0" collapsed="false">
      <c r="A788" s="47" t="s">
        <v>226</v>
      </c>
      <c r="B788" s="47" t="n">
        <v>1</v>
      </c>
      <c r="C788" s="47" t="s">
        <v>1857</v>
      </c>
      <c r="D788" s="47" t="s">
        <v>1858</v>
      </c>
      <c r="E788" s="47" t="s">
        <v>8</v>
      </c>
      <c r="F788" s="47" t="s">
        <v>374</v>
      </c>
      <c r="G788" s="97" t="s">
        <v>381</v>
      </c>
    </row>
    <row r="789" customFormat="false" ht="14.25" hidden="false" customHeight="false" outlineLevel="0" collapsed="false">
      <c r="A789" s="47" t="s">
        <v>226</v>
      </c>
      <c r="B789" s="47" t="n">
        <v>1</v>
      </c>
      <c r="C789" s="47" t="s">
        <v>1859</v>
      </c>
      <c r="D789" s="47" t="s">
        <v>1860</v>
      </c>
      <c r="E789" s="47" t="s">
        <v>8</v>
      </c>
      <c r="F789" s="47" t="s">
        <v>367</v>
      </c>
      <c r="G789" s="97" t="s">
        <v>368</v>
      </c>
    </row>
    <row r="790" customFormat="false" ht="14.25" hidden="false" customHeight="false" outlineLevel="0" collapsed="false">
      <c r="A790" s="47" t="s">
        <v>226</v>
      </c>
      <c r="B790" s="47" t="n">
        <v>1</v>
      </c>
      <c r="C790" s="47" t="s">
        <v>1861</v>
      </c>
      <c r="D790" s="47" t="s">
        <v>1862</v>
      </c>
      <c r="E790" s="47" t="s">
        <v>8</v>
      </c>
      <c r="F790" s="47" t="s">
        <v>367</v>
      </c>
      <c r="G790" s="97" t="s">
        <v>368</v>
      </c>
    </row>
    <row r="791" customFormat="false" ht="14.25" hidden="false" customHeight="false" outlineLevel="0" collapsed="false">
      <c r="A791" s="47" t="s">
        <v>226</v>
      </c>
      <c r="B791" s="47" t="n">
        <v>1</v>
      </c>
      <c r="C791" s="47" t="s">
        <v>1863</v>
      </c>
      <c r="D791" s="47" t="s">
        <v>1864</v>
      </c>
      <c r="E791" s="47" t="s">
        <v>8</v>
      </c>
      <c r="F791" s="47" t="s">
        <v>374</v>
      </c>
      <c r="G791" s="97" t="s">
        <v>381</v>
      </c>
    </row>
    <row r="792" customFormat="false" ht="14.25" hidden="false" customHeight="false" outlineLevel="0" collapsed="false">
      <c r="A792" s="47" t="s">
        <v>226</v>
      </c>
      <c r="B792" s="47" t="n">
        <v>1</v>
      </c>
      <c r="C792" s="47" t="s">
        <v>1865</v>
      </c>
      <c r="D792" s="47" t="s">
        <v>1866</v>
      </c>
      <c r="E792" s="47" t="s">
        <v>8</v>
      </c>
      <c r="F792" s="47" t="s">
        <v>367</v>
      </c>
      <c r="G792" s="97" t="s">
        <v>368</v>
      </c>
    </row>
    <row r="793" customFormat="false" ht="14.25" hidden="false" customHeight="false" outlineLevel="0" collapsed="false">
      <c r="A793" s="47" t="s">
        <v>226</v>
      </c>
      <c r="B793" s="47" t="n">
        <v>1</v>
      </c>
      <c r="C793" s="47" t="s">
        <v>1867</v>
      </c>
      <c r="D793" s="47" t="s">
        <v>1868</v>
      </c>
      <c r="E793" s="47" t="s">
        <v>8</v>
      </c>
      <c r="F793" s="47" t="s">
        <v>367</v>
      </c>
      <c r="G793" s="97" t="s">
        <v>368</v>
      </c>
    </row>
    <row r="794" customFormat="false" ht="14.25" hidden="false" customHeight="false" outlineLevel="0" collapsed="false">
      <c r="A794" s="47" t="s">
        <v>226</v>
      </c>
      <c r="B794" s="47" t="n">
        <v>1</v>
      </c>
      <c r="C794" s="47" t="s">
        <v>1869</v>
      </c>
      <c r="D794" s="47" t="s">
        <v>1870</v>
      </c>
      <c r="E794" s="47" t="s">
        <v>8</v>
      </c>
      <c r="F794" s="47" t="s">
        <v>374</v>
      </c>
      <c r="G794" s="97" t="s">
        <v>392</v>
      </c>
    </row>
    <row r="795" customFormat="false" ht="14.25" hidden="false" customHeight="false" outlineLevel="0" collapsed="false">
      <c r="A795" s="47" t="s">
        <v>226</v>
      </c>
      <c r="B795" s="47" t="n">
        <v>1</v>
      </c>
      <c r="C795" s="47" t="s">
        <v>1871</v>
      </c>
      <c r="D795" s="47" t="s">
        <v>1872</v>
      </c>
      <c r="E795" s="47" t="s">
        <v>8</v>
      </c>
      <c r="F795" s="47" t="s">
        <v>374</v>
      </c>
      <c r="G795" s="97" t="s">
        <v>381</v>
      </c>
    </row>
    <row r="796" customFormat="false" ht="14.25" hidden="false" customHeight="false" outlineLevel="0" collapsed="false">
      <c r="A796" s="47" t="s">
        <v>226</v>
      </c>
      <c r="B796" s="47" t="n">
        <v>1</v>
      </c>
      <c r="C796" s="47" t="s">
        <v>1873</v>
      </c>
      <c r="D796" s="47" t="s">
        <v>1874</v>
      </c>
      <c r="E796" s="47" t="s">
        <v>8</v>
      </c>
      <c r="F796" s="47" t="s">
        <v>374</v>
      </c>
      <c r="G796" s="97" t="s">
        <v>381</v>
      </c>
    </row>
    <row r="797" customFormat="false" ht="14.25" hidden="false" customHeight="false" outlineLevel="0" collapsed="false">
      <c r="A797" s="47" t="s">
        <v>226</v>
      </c>
      <c r="B797" s="47" t="n">
        <v>1</v>
      </c>
      <c r="C797" s="47" t="s">
        <v>1875</v>
      </c>
      <c r="D797" s="47" t="s">
        <v>1876</v>
      </c>
      <c r="E797" s="47" t="s">
        <v>8</v>
      </c>
      <c r="F797" s="47" t="s">
        <v>367</v>
      </c>
      <c r="G797" s="97" t="s">
        <v>368</v>
      </c>
    </row>
    <row r="798" customFormat="false" ht="14.25" hidden="false" customHeight="false" outlineLevel="0" collapsed="false">
      <c r="A798" s="47" t="s">
        <v>226</v>
      </c>
      <c r="B798" s="47" t="n">
        <v>1</v>
      </c>
      <c r="C798" s="47" t="s">
        <v>1877</v>
      </c>
      <c r="D798" s="47" t="s">
        <v>1878</v>
      </c>
      <c r="E798" s="47" t="s">
        <v>8</v>
      </c>
      <c r="F798" s="47" t="s">
        <v>367</v>
      </c>
      <c r="G798" s="97" t="s">
        <v>368</v>
      </c>
    </row>
    <row r="799" customFormat="false" ht="14.25" hidden="false" customHeight="false" outlineLevel="0" collapsed="false">
      <c r="A799" s="47" t="s">
        <v>226</v>
      </c>
      <c r="B799" s="47" t="n">
        <v>1</v>
      </c>
      <c r="C799" s="47" t="s">
        <v>1879</v>
      </c>
      <c r="D799" s="47" t="s">
        <v>1880</v>
      </c>
      <c r="E799" s="47" t="s">
        <v>8</v>
      </c>
      <c r="F799" s="47" t="s">
        <v>374</v>
      </c>
      <c r="G799" s="97" t="s">
        <v>381</v>
      </c>
    </row>
    <row r="800" customFormat="false" ht="14.25" hidden="false" customHeight="false" outlineLevel="0" collapsed="false">
      <c r="A800" s="47" t="s">
        <v>226</v>
      </c>
      <c r="B800" s="47" t="n">
        <v>1</v>
      </c>
      <c r="C800" s="47" t="s">
        <v>1881</v>
      </c>
      <c r="D800" s="47" t="s">
        <v>1882</v>
      </c>
      <c r="E800" s="47" t="s">
        <v>8</v>
      </c>
      <c r="F800" s="47" t="s">
        <v>367</v>
      </c>
      <c r="G800" s="97" t="s">
        <v>368</v>
      </c>
    </row>
    <row r="801" customFormat="false" ht="14.25" hidden="false" customHeight="false" outlineLevel="0" collapsed="false">
      <c r="A801" s="47" t="s">
        <v>226</v>
      </c>
      <c r="B801" s="47" t="n">
        <v>1</v>
      </c>
      <c r="C801" s="47" t="s">
        <v>1883</v>
      </c>
      <c r="D801" s="47" t="s">
        <v>1884</v>
      </c>
      <c r="E801" s="47" t="s">
        <v>8</v>
      </c>
      <c r="F801" s="47" t="s">
        <v>374</v>
      </c>
      <c r="G801" s="97" t="s">
        <v>578</v>
      </c>
    </row>
    <row r="802" customFormat="false" ht="14.25" hidden="false" customHeight="false" outlineLevel="0" collapsed="false">
      <c r="A802" s="47" t="s">
        <v>226</v>
      </c>
      <c r="B802" s="47" t="n">
        <v>1</v>
      </c>
      <c r="C802" s="47" t="s">
        <v>1885</v>
      </c>
      <c r="D802" s="47" t="s">
        <v>1886</v>
      </c>
      <c r="E802" s="47" t="s">
        <v>8</v>
      </c>
      <c r="F802" s="47" t="s">
        <v>367</v>
      </c>
      <c r="G802" s="97" t="s">
        <v>368</v>
      </c>
    </row>
    <row r="803" customFormat="false" ht="14.25" hidden="false" customHeight="false" outlineLevel="0" collapsed="false">
      <c r="A803" s="47" t="s">
        <v>226</v>
      </c>
      <c r="B803" s="47" t="n">
        <v>1</v>
      </c>
      <c r="C803" s="47" t="s">
        <v>1887</v>
      </c>
      <c r="D803" s="47" t="s">
        <v>1888</v>
      </c>
      <c r="E803" s="47" t="s">
        <v>8</v>
      </c>
      <c r="F803" s="47" t="s">
        <v>367</v>
      </c>
      <c r="G803" s="97" t="s">
        <v>368</v>
      </c>
    </row>
    <row r="804" customFormat="false" ht="14.25" hidden="false" customHeight="false" outlineLevel="0" collapsed="false">
      <c r="A804" s="47" t="s">
        <v>226</v>
      </c>
      <c r="B804" s="47" t="n">
        <v>1</v>
      </c>
      <c r="C804" s="47" t="s">
        <v>1889</v>
      </c>
      <c r="D804" s="47" t="s">
        <v>877</v>
      </c>
      <c r="E804" s="47" t="s">
        <v>8</v>
      </c>
      <c r="F804" s="47" t="s">
        <v>374</v>
      </c>
      <c r="G804" s="97" t="s">
        <v>392</v>
      </c>
    </row>
    <row r="805" customFormat="false" ht="14.25" hidden="false" customHeight="false" outlineLevel="0" collapsed="false">
      <c r="A805" s="47" t="s">
        <v>226</v>
      </c>
      <c r="B805" s="47" t="n">
        <v>1</v>
      </c>
      <c r="C805" s="47" t="s">
        <v>1890</v>
      </c>
      <c r="D805" s="47" t="s">
        <v>1891</v>
      </c>
      <c r="E805" s="47" t="s">
        <v>8</v>
      </c>
      <c r="F805" s="47" t="s">
        <v>374</v>
      </c>
      <c r="G805" s="97" t="s">
        <v>381</v>
      </c>
    </row>
    <row r="806" customFormat="false" ht="14.25" hidden="false" customHeight="false" outlineLevel="0" collapsed="false">
      <c r="A806" s="47" t="s">
        <v>226</v>
      </c>
      <c r="B806" s="47" t="n">
        <v>1</v>
      </c>
      <c r="C806" s="47" t="s">
        <v>1892</v>
      </c>
      <c r="D806" s="47" t="s">
        <v>1893</v>
      </c>
      <c r="E806" s="47" t="s">
        <v>8</v>
      </c>
      <c r="F806" s="47" t="s">
        <v>367</v>
      </c>
      <c r="G806" s="97" t="s">
        <v>368</v>
      </c>
    </row>
    <row r="807" customFormat="false" ht="14.25" hidden="false" customHeight="false" outlineLevel="0" collapsed="false">
      <c r="A807" s="47" t="s">
        <v>226</v>
      </c>
      <c r="B807" s="47" t="n">
        <v>1</v>
      </c>
      <c r="C807" s="47" t="s">
        <v>1894</v>
      </c>
      <c r="D807" s="47" t="s">
        <v>1895</v>
      </c>
      <c r="E807" s="47" t="s">
        <v>8</v>
      </c>
      <c r="F807" s="47" t="s">
        <v>374</v>
      </c>
      <c r="G807" s="97" t="s">
        <v>392</v>
      </c>
    </row>
    <row r="808" customFormat="false" ht="14.25" hidden="false" customHeight="false" outlineLevel="0" collapsed="false">
      <c r="A808" s="47" t="s">
        <v>226</v>
      </c>
      <c r="B808" s="47" t="n">
        <v>1</v>
      </c>
      <c r="C808" s="47" t="s">
        <v>1896</v>
      </c>
      <c r="D808" s="47" t="s">
        <v>1897</v>
      </c>
      <c r="E808" s="47" t="s">
        <v>8</v>
      </c>
      <c r="F808" s="47" t="s">
        <v>367</v>
      </c>
      <c r="G808" s="97" t="s">
        <v>368</v>
      </c>
    </row>
    <row r="809" customFormat="false" ht="14.25" hidden="false" customHeight="false" outlineLevel="0" collapsed="false">
      <c r="A809" s="47" t="s">
        <v>226</v>
      </c>
      <c r="B809" s="47" t="n">
        <v>1</v>
      </c>
      <c r="C809" s="47" t="s">
        <v>1898</v>
      </c>
      <c r="D809" s="47" t="s">
        <v>1899</v>
      </c>
      <c r="E809" s="47" t="s">
        <v>8</v>
      </c>
      <c r="F809" s="47" t="s">
        <v>367</v>
      </c>
      <c r="G809" s="97" t="s">
        <v>368</v>
      </c>
    </row>
    <row r="810" customFormat="false" ht="14.25" hidden="false" customHeight="false" outlineLevel="0" collapsed="false">
      <c r="A810" s="47" t="s">
        <v>226</v>
      </c>
      <c r="B810" s="47" t="n">
        <v>1</v>
      </c>
      <c r="C810" s="47" t="s">
        <v>1900</v>
      </c>
      <c r="D810" s="47" t="s">
        <v>1901</v>
      </c>
      <c r="E810" s="47" t="s">
        <v>8</v>
      </c>
      <c r="F810" s="47" t="s">
        <v>374</v>
      </c>
      <c r="G810" s="97" t="s">
        <v>381</v>
      </c>
    </row>
    <row r="811" customFormat="false" ht="14.25" hidden="false" customHeight="false" outlineLevel="0" collapsed="false">
      <c r="A811" s="47" t="s">
        <v>226</v>
      </c>
      <c r="B811" s="47" t="n">
        <v>1</v>
      </c>
      <c r="C811" s="47" t="s">
        <v>1902</v>
      </c>
      <c r="D811" s="47" t="s">
        <v>1903</v>
      </c>
      <c r="E811" s="47" t="s">
        <v>8</v>
      </c>
      <c r="F811" s="47" t="s">
        <v>367</v>
      </c>
      <c r="G811" s="97" t="s">
        <v>368</v>
      </c>
    </row>
    <row r="812" customFormat="false" ht="14.25" hidden="false" customHeight="false" outlineLevel="0" collapsed="false">
      <c r="A812" s="47" t="s">
        <v>226</v>
      </c>
      <c r="B812" s="47" t="n">
        <v>1</v>
      </c>
      <c r="C812" s="47" t="s">
        <v>1904</v>
      </c>
      <c r="D812" s="47" t="s">
        <v>1905</v>
      </c>
      <c r="E812" s="47" t="s">
        <v>8</v>
      </c>
      <c r="F812" s="47" t="s">
        <v>374</v>
      </c>
      <c r="G812" s="97" t="s">
        <v>381</v>
      </c>
    </row>
    <row r="813" customFormat="false" ht="14.25" hidden="false" customHeight="false" outlineLevel="0" collapsed="false">
      <c r="A813" s="47" t="s">
        <v>226</v>
      </c>
      <c r="B813" s="47" t="n">
        <v>1</v>
      </c>
      <c r="C813" s="47" t="s">
        <v>1906</v>
      </c>
      <c r="D813" s="47" t="s">
        <v>1907</v>
      </c>
      <c r="E813" s="47" t="s">
        <v>8</v>
      </c>
      <c r="F813" s="47" t="s">
        <v>367</v>
      </c>
      <c r="G813" s="97" t="s">
        <v>368</v>
      </c>
    </row>
    <row r="814" customFormat="false" ht="14.25" hidden="false" customHeight="false" outlineLevel="0" collapsed="false">
      <c r="A814" s="47" t="s">
        <v>226</v>
      </c>
      <c r="B814" s="47" t="n">
        <v>1</v>
      </c>
      <c r="C814" s="47" t="s">
        <v>1908</v>
      </c>
      <c r="D814" s="47" t="s">
        <v>1909</v>
      </c>
      <c r="E814" s="47" t="s">
        <v>8</v>
      </c>
      <c r="F814" s="47" t="s">
        <v>367</v>
      </c>
      <c r="G814" s="97" t="s">
        <v>368</v>
      </c>
    </row>
    <row r="815" customFormat="false" ht="14.25" hidden="false" customHeight="false" outlineLevel="0" collapsed="false">
      <c r="A815" s="47" t="s">
        <v>226</v>
      </c>
      <c r="B815" s="47" t="n">
        <v>1</v>
      </c>
      <c r="C815" s="47" t="s">
        <v>1910</v>
      </c>
      <c r="D815" s="47" t="s">
        <v>1911</v>
      </c>
      <c r="E815" s="47" t="s">
        <v>8</v>
      </c>
      <c r="F815" s="47" t="s">
        <v>374</v>
      </c>
      <c r="G815" s="97" t="s">
        <v>381</v>
      </c>
    </row>
    <row r="816" customFormat="false" ht="14.25" hidden="false" customHeight="false" outlineLevel="0" collapsed="false">
      <c r="A816" s="47" t="s">
        <v>226</v>
      </c>
      <c r="B816" s="47" t="n">
        <v>1</v>
      </c>
      <c r="C816" s="47" t="s">
        <v>1912</v>
      </c>
      <c r="D816" s="47" t="s">
        <v>1913</v>
      </c>
      <c r="E816" s="47" t="s">
        <v>8</v>
      </c>
      <c r="F816" s="47" t="s">
        <v>367</v>
      </c>
      <c r="G816" s="97" t="s">
        <v>368</v>
      </c>
    </row>
    <row r="817" customFormat="false" ht="14.25" hidden="false" customHeight="false" outlineLevel="0" collapsed="false">
      <c r="A817" s="47" t="s">
        <v>226</v>
      </c>
      <c r="B817" s="47" t="n">
        <v>1</v>
      </c>
      <c r="C817" s="47" t="s">
        <v>1914</v>
      </c>
      <c r="D817" s="47" t="s">
        <v>1915</v>
      </c>
      <c r="E817" s="47" t="s">
        <v>8</v>
      </c>
      <c r="F817" s="47" t="s">
        <v>367</v>
      </c>
      <c r="G817" s="97" t="s">
        <v>368</v>
      </c>
    </row>
    <row r="818" customFormat="false" ht="14.25" hidden="false" customHeight="false" outlineLevel="0" collapsed="false">
      <c r="A818" s="47" t="s">
        <v>226</v>
      </c>
      <c r="B818" s="47" t="n">
        <v>1</v>
      </c>
      <c r="C818" s="47" t="s">
        <v>1916</v>
      </c>
      <c r="D818" s="47" t="s">
        <v>1917</v>
      </c>
      <c r="E818" s="47" t="s">
        <v>8</v>
      </c>
      <c r="F818" s="47" t="s">
        <v>367</v>
      </c>
      <c r="G818" s="97" t="s">
        <v>368</v>
      </c>
    </row>
    <row r="819" customFormat="false" ht="14.25" hidden="false" customHeight="false" outlineLevel="0" collapsed="false">
      <c r="A819" s="47" t="s">
        <v>226</v>
      </c>
      <c r="B819" s="47" t="n">
        <v>1</v>
      </c>
      <c r="C819" s="47" t="s">
        <v>1918</v>
      </c>
      <c r="D819" s="47" t="s">
        <v>1919</v>
      </c>
      <c r="E819" s="47" t="s">
        <v>8</v>
      </c>
      <c r="F819" s="47" t="s">
        <v>367</v>
      </c>
      <c r="G819" s="97" t="s">
        <v>368</v>
      </c>
    </row>
    <row r="820" customFormat="false" ht="14.25" hidden="false" customHeight="false" outlineLevel="0" collapsed="false">
      <c r="A820" s="47" t="s">
        <v>226</v>
      </c>
      <c r="B820" s="47" t="n">
        <v>1</v>
      </c>
      <c r="C820" s="47" t="s">
        <v>1920</v>
      </c>
      <c r="D820" s="47" t="s">
        <v>1921</v>
      </c>
      <c r="E820" s="47" t="s">
        <v>8</v>
      </c>
      <c r="F820" s="47" t="s">
        <v>367</v>
      </c>
      <c r="G820" s="97" t="s">
        <v>368</v>
      </c>
    </row>
    <row r="821" customFormat="false" ht="14.25" hidden="false" customHeight="false" outlineLevel="0" collapsed="false">
      <c r="A821" s="47" t="s">
        <v>226</v>
      </c>
      <c r="B821" s="47" t="n">
        <v>1</v>
      </c>
      <c r="C821" s="47" t="s">
        <v>1922</v>
      </c>
      <c r="D821" s="47" t="s">
        <v>1923</v>
      </c>
      <c r="E821" s="47" t="s">
        <v>8</v>
      </c>
      <c r="F821" s="47" t="s">
        <v>374</v>
      </c>
      <c r="G821" s="97" t="s">
        <v>578</v>
      </c>
    </row>
    <row r="822" customFormat="false" ht="14.25" hidden="false" customHeight="false" outlineLevel="0" collapsed="false">
      <c r="A822" s="47" t="s">
        <v>226</v>
      </c>
      <c r="B822" s="47" t="n">
        <v>1</v>
      </c>
      <c r="C822" s="47" t="s">
        <v>1924</v>
      </c>
      <c r="D822" s="47" t="s">
        <v>1925</v>
      </c>
      <c r="E822" s="47" t="s">
        <v>8</v>
      </c>
      <c r="F822" s="47" t="s">
        <v>367</v>
      </c>
      <c r="G822" s="97" t="s">
        <v>368</v>
      </c>
    </row>
    <row r="823" customFormat="false" ht="14.25" hidden="false" customHeight="false" outlineLevel="0" collapsed="false">
      <c r="A823" s="47" t="s">
        <v>226</v>
      </c>
      <c r="B823" s="47" t="n">
        <v>1</v>
      </c>
      <c r="C823" s="47" t="s">
        <v>1926</v>
      </c>
      <c r="D823" s="47" t="s">
        <v>1927</v>
      </c>
      <c r="E823" s="47" t="s">
        <v>8</v>
      </c>
      <c r="F823" s="47" t="s">
        <v>367</v>
      </c>
      <c r="G823" s="97" t="s">
        <v>368</v>
      </c>
    </row>
    <row r="824" customFormat="false" ht="14.25" hidden="false" customHeight="false" outlineLevel="0" collapsed="false">
      <c r="A824" s="47" t="s">
        <v>226</v>
      </c>
      <c r="B824" s="47" t="n">
        <v>1</v>
      </c>
      <c r="C824" s="47" t="s">
        <v>1928</v>
      </c>
      <c r="D824" s="47" t="s">
        <v>1929</v>
      </c>
      <c r="E824" s="47" t="s">
        <v>8</v>
      </c>
      <c r="F824" s="47" t="s">
        <v>367</v>
      </c>
      <c r="G824" s="97" t="s">
        <v>368</v>
      </c>
    </row>
    <row r="825" customFormat="false" ht="14.25" hidden="false" customHeight="false" outlineLevel="0" collapsed="false">
      <c r="A825" s="47" t="s">
        <v>226</v>
      </c>
      <c r="B825" s="47" t="n">
        <v>1</v>
      </c>
      <c r="C825" s="47" t="s">
        <v>1930</v>
      </c>
      <c r="D825" s="47" t="s">
        <v>1931</v>
      </c>
      <c r="E825" s="47" t="s">
        <v>8</v>
      </c>
      <c r="F825" s="47" t="s">
        <v>367</v>
      </c>
      <c r="G825" s="97" t="s">
        <v>368</v>
      </c>
    </row>
    <row r="826" customFormat="false" ht="14.25" hidden="false" customHeight="false" outlineLevel="0" collapsed="false">
      <c r="A826" s="47" t="s">
        <v>226</v>
      </c>
      <c r="B826" s="47" t="n">
        <v>1</v>
      </c>
      <c r="C826" s="47" t="s">
        <v>1932</v>
      </c>
      <c r="D826" s="47" t="s">
        <v>1933</v>
      </c>
      <c r="E826" s="47" t="s">
        <v>8</v>
      </c>
      <c r="F826" s="47" t="s">
        <v>367</v>
      </c>
      <c r="G826" s="97" t="s">
        <v>368</v>
      </c>
    </row>
    <row r="827" customFormat="false" ht="14.25" hidden="false" customHeight="false" outlineLevel="0" collapsed="false">
      <c r="A827" s="47" t="s">
        <v>226</v>
      </c>
      <c r="B827" s="47" t="n">
        <v>1</v>
      </c>
      <c r="C827" s="47" t="s">
        <v>1934</v>
      </c>
      <c r="D827" s="47" t="s">
        <v>1935</v>
      </c>
      <c r="E827" s="47" t="s">
        <v>8</v>
      </c>
      <c r="F827" s="47" t="s">
        <v>367</v>
      </c>
      <c r="G827" s="97" t="s">
        <v>368</v>
      </c>
    </row>
    <row r="828" customFormat="false" ht="14.25" hidden="false" customHeight="false" outlineLevel="0" collapsed="false">
      <c r="A828" s="47" t="s">
        <v>226</v>
      </c>
      <c r="B828" s="47" t="n">
        <v>1</v>
      </c>
      <c r="C828" s="47" t="s">
        <v>1936</v>
      </c>
      <c r="D828" s="47" t="s">
        <v>1937</v>
      </c>
      <c r="E828" s="47" t="s">
        <v>8</v>
      </c>
      <c r="F828" s="47" t="s">
        <v>374</v>
      </c>
      <c r="G828" s="97" t="s">
        <v>392</v>
      </c>
    </row>
    <row r="829" customFormat="false" ht="14.25" hidden="false" customHeight="false" outlineLevel="0" collapsed="false">
      <c r="A829" s="47" t="s">
        <v>226</v>
      </c>
      <c r="B829" s="47" t="n">
        <v>1</v>
      </c>
      <c r="C829" s="47" t="s">
        <v>1938</v>
      </c>
      <c r="D829" s="47" t="s">
        <v>1939</v>
      </c>
      <c r="E829" s="47" t="s">
        <v>8</v>
      </c>
      <c r="F829" s="47" t="s">
        <v>367</v>
      </c>
      <c r="G829" s="97" t="s">
        <v>368</v>
      </c>
    </row>
    <row r="830" customFormat="false" ht="14.25" hidden="false" customHeight="false" outlineLevel="0" collapsed="false">
      <c r="A830" s="47" t="s">
        <v>226</v>
      </c>
      <c r="B830" s="47" t="n">
        <v>1</v>
      </c>
      <c r="C830" s="47" t="s">
        <v>264</v>
      </c>
      <c r="D830" s="47" t="s">
        <v>1940</v>
      </c>
      <c r="E830" s="47" t="s">
        <v>8</v>
      </c>
      <c r="F830" s="47" t="s">
        <v>374</v>
      </c>
      <c r="G830" s="97" t="s">
        <v>381</v>
      </c>
    </row>
    <row r="831" customFormat="false" ht="14.25" hidden="false" customHeight="false" outlineLevel="0" collapsed="false">
      <c r="A831" s="47" t="s">
        <v>226</v>
      </c>
      <c r="B831" s="47" t="n">
        <v>1</v>
      </c>
      <c r="C831" s="47" t="s">
        <v>1941</v>
      </c>
      <c r="D831" s="47" t="s">
        <v>1942</v>
      </c>
      <c r="E831" s="47" t="s">
        <v>8</v>
      </c>
      <c r="F831" s="47" t="s">
        <v>374</v>
      </c>
      <c r="G831" s="97" t="s">
        <v>578</v>
      </c>
    </row>
    <row r="832" customFormat="false" ht="14.25" hidden="false" customHeight="false" outlineLevel="0" collapsed="false">
      <c r="A832" s="47" t="s">
        <v>226</v>
      </c>
      <c r="B832" s="47" t="n">
        <v>1</v>
      </c>
      <c r="C832" s="47" t="s">
        <v>1943</v>
      </c>
      <c r="D832" s="47" t="s">
        <v>458</v>
      </c>
      <c r="E832" s="47" t="s">
        <v>8</v>
      </c>
      <c r="F832" s="47" t="s">
        <v>367</v>
      </c>
      <c r="G832" s="97" t="s">
        <v>368</v>
      </c>
    </row>
    <row r="833" customFormat="false" ht="14.25" hidden="false" customHeight="false" outlineLevel="0" collapsed="false">
      <c r="A833" s="47" t="s">
        <v>226</v>
      </c>
      <c r="B833" s="47" t="n">
        <v>1</v>
      </c>
      <c r="C833" s="47" t="s">
        <v>1944</v>
      </c>
      <c r="D833" s="47" t="s">
        <v>1945</v>
      </c>
      <c r="E833" s="47" t="s">
        <v>8</v>
      </c>
      <c r="F833" s="47" t="s">
        <v>374</v>
      </c>
      <c r="G833" s="97" t="s">
        <v>381</v>
      </c>
    </row>
    <row r="834" customFormat="false" ht="14.25" hidden="false" customHeight="false" outlineLevel="0" collapsed="false">
      <c r="A834" s="47" t="s">
        <v>226</v>
      </c>
      <c r="B834" s="47" t="n">
        <v>1</v>
      </c>
      <c r="C834" s="47" t="s">
        <v>1946</v>
      </c>
      <c r="D834" s="47" t="s">
        <v>1947</v>
      </c>
      <c r="E834" s="47" t="s">
        <v>8</v>
      </c>
      <c r="F834" s="47" t="s">
        <v>367</v>
      </c>
      <c r="G834" s="97" t="s">
        <v>368</v>
      </c>
    </row>
    <row r="835" customFormat="false" ht="14.25" hidden="false" customHeight="false" outlineLevel="0" collapsed="false">
      <c r="A835" s="47" t="s">
        <v>226</v>
      </c>
      <c r="B835" s="47" t="n">
        <v>1</v>
      </c>
      <c r="C835" s="47" t="s">
        <v>1948</v>
      </c>
      <c r="D835" s="47" t="s">
        <v>1949</v>
      </c>
      <c r="E835" s="47" t="s">
        <v>8</v>
      </c>
      <c r="F835" s="47" t="s">
        <v>367</v>
      </c>
      <c r="G835" s="97" t="s">
        <v>368</v>
      </c>
    </row>
    <row r="836" customFormat="false" ht="14.25" hidden="false" customHeight="false" outlineLevel="0" collapsed="false">
      <c r="A836" s="47" t="s">
        <v>226</v>
      </c>
      <c r="B836" s="47" t="n">
        <v>1</v>
      </c>
      <c r="C836" s="47" t="s">
        <v>1950</v>
      </c>
      <c r="D836" s="47" t="s">
        <v>1951</v>
      </c>
      <c r="E836" s="47" t="s">
        <v>8</v>
      </c>
      <c r="F836" s="47" t="s">
        <v>374</v>
      </c>
      <c r="G836" s="97" t="s">
        <v>578</v>
      </c>
    </row>
    <row r="837" customFormat="false" ht="14.25" hidden="false" customHeight="false" outlineLevel="0" collapsed="false">
      <c r="A837" s="47" t="s">
        <v>226</v>
      </c>
      <c r="B837" s="47" t="n">
        <v>1</v>
      </c>
      <c r="C837" s="47" t="s">
        <v>1952</v>
      </c>
      <c r="D837" s="47" t="s">
        <v>1953</v>
      </c>
      <c r="E837" s="47" t="s">
        <v>8</v>
      </c>
      <c r="F837" s="47" t="s">
        <v>367</v>
      </c>
      <c r="G837" s="97" t="s">
        <v>368</v>
      </c>
    </row>
    <row r="838" customFormat="false" ht="14.25" hidden="false" customHeight="false" outlineLevel="0" collapsed="false">
      <c r="A838" s="47" t="s">
        <v>226</v>
      </c>
      <c r="B838" s="47" t="n">
        <v>1</v>
      </c>
      <c r="C838" s="47" t="s">
        <v>1954</v>
      </c>
      <c r="D838" s="47" t="s">
        <v>1955</v>
      </c>
      <c r="E838" s="47" t="s">
        <v>8</v>
      </c>
      <c r="F838" s="47" t="s">
        <v>374</v>
      </c>
      <c r="G838" s="97" t="s">
        <v>381</v>
      </c>
    </row>
    <row r="839" customFormat="false" ht="14.25" hidden="false" customHeight="false" outlineLevel="0" collapsed="false">
      <c r="A839" s="47" t="s">
        <v>226</v>
      </c>
      <c r="B839" s="47" t="n">
        <v>1</v>
      </c>
      <c r="C839" s="47" t="s">
        <v>1956</v>
      </c>
      <c r="D839" s="47" t="s">
        <v>1957</v>
      </c>
      <c r="E839" s="47" t="s">
        <v>8</v>
      </c>
      <c r="F839" s="47" t="s">
        <v>374</v>
      </c>
      <c r="G839" s="97" t="s">
        <v>371</v>
      </c>
    </row>
    <row r="840" customFormat="false" ht="14.25" hidden="false" customHeight="false" outlineLevel="0" collapsed="false">
      <c r="A840" s="47" t="s">
        <v>226</v>
      </c>
      <c r="B840" s="47" t="n">
        <v>1</v>
      </c>
      <c r="C840" s="47" t="s">
        <v>1958</v>
      </c>
      <c r="D840" s="47" t="s">
        <v>1959</v>
      </c>
      <c r="E840" s="47" t="s">
        <v>8</v>
      </c>
      <c r="F840" s="47" t="s">
        <v>367</v>
      </c>
      <c r="G840" s="97" t="s">
        <v>368</v>
      </c>
    </row>
    <row r="841" customFormat="false" ht="14.25" hidden="false" customHeight="false" outlineLevel="0" collapsed="false">
      <c r="A841" s="47" t="s">
        <v>226</v>
      </c>
      <c r="B841" s="47" t="n">
        <v>1</v>
      </c>
      <c r="C841" s="47" t="s">
        <v>1960</v>
      </c>
      <c r="D841" s="47" t="s">
        <v>1961</v>
      </c>
      <c r="E841" s="47" t="s">
        <v>8</v>
      </c>
      <c r="F841" s="47" t="s">
        <v>374</v>
      </c>
      <c r="G841" s="97" t="s">
        <v>381</v>
      </c>
    </row>
    <row r="842" customFormat="false" ht="14.25" hidden="false" customHeight="false" outlineLevel="0" collapsed="false">
      <c r="A842" s="47" t="s">
        <v>226</v>
      </c>
      <c r="B842" s="47" t="n">
        <v>1</v>
      </c>
      <c r="C842" s="47" t="s">
        <v>1962</v>
      </c>
      <c r="D842" s="47" t="s">
        <v>1797</v>
      </c>
      <c r="E842" s="47" t="s">
        <v>8</v>
      </c>
      <c r="F842" s="47" t="s">
        <v>367</v>
      </c>
      <c r="G842" s="97" t="s">
        <v>368</v>
      </c>
    </row>
    <row r="843" customFormat="false" ht="14.25" hidden="false" customHeight="false" outlineLevel="0" collapsed="false">
      <c r="A843" s="47" t="s">
        <v>226</v>
      </c>
      <c r="B843" s="47" t="n">
        <v>1</v>
      </c>
      <c r="C843" s="47" t="s">
        <v>1963</v>
      </c>
      <c r="D843" s="47" t="s">
        <v>1964</v>
      </c>
      <c r="E843" s="47" t="s">
        <v>8</v>
      </c>
      <c r="F843" s="47" t="s">
        <v>367</v>
      </c>
      <c r="G843" s="97" t="s">
        <v>368</v>
      </c>
    </row>
    <row r="844" customFormat="false" ht="14.25" hidden="false" customHeight="false" outlineLevel="0" collapsed="false">
      <c r="A844" s="47" t="s">
        <v>226</v>
      </c>
      <c r="B844" s="47" t="n">
        <v>1</v>
      </c>
      <c r="C844" s="47" t="s">
        <v>1965</v>
      </c>
      <c r="D844" s="47" t="s">
        <v>1966</v>
      </c>
      <c r="E844" s="47" t="s">
        <v>8</v>
      </c>
      <c r="F844" s="47" t="s">
        <v>367</v>
      </c>
      <c r="G844" s="97" t="s">
        <v>368</v>
      </c>
    </row>
    <row r="845" customFormat="false" ht="14.25" hidden="false" customHeight="false" outlineLevel="0" collapsed="false">
      <c r="A845" s="47" t="s">
        <v>226</v>
      </c>
      <c r="B845" s="47" t="n">
        <v>1</v>
      </c>
      <c r="C845" s="47" t="s">
        <v>1967</v>
      </c>
      <c r="D845" s="47" t="s">
        <v>1968</v>
      </c>
      <c r="E845" s="47" t="s">
        <v>8</v>
      </c>
      <c r="F845" s="47" t="s">
        <v>367</v>
      </c>
      <c r="G845" s="97" t="s">
        <v>368</v>
      </c>
    </row>
    <row r="846" customFormat="false" ht="14.25" hidden="false" customHeight="false" outlineLevel="0" collapsed="false">
      <c r="A846" s="47" t="s">
        <v>226</v>
      </c>
      <c r="B846" s="47" t="n">
        <v>1</v>
      </c>
      <c r="C846" s="47" t="s">
        <v>1969</v>
      </c>
      <c r="D846" s="47" t="s">
        <v>1970</v>
      </c>
      <c r="E846" s="47" t="s">
        <v>8</v>
      </c>
      <c r="F846" s="47" t="s">
        <v>367</v>
      </c>
      <c r="G846" s="97" t="s">
        <v>368</v>
      </c>
    </row>
    <row r="847" customFormat="false" ht="14.25" hidden="false" customHeight="false" outlineLevel="0" collapsed="false">
      <c r="A847" s="47" t="s">
        <v>226</v>
      </c>
      <c r="B847" s="47" t="n">
        <v>1</v>
      </c>
      <c r="C847" s="47" t="s">
        <v>1971</v>
      </c>
      <c r="D847" s="47" t="s">
        <v>1972</v>
      </c>
      <c r="E847" s="47" t="s">
        <v>8</v>
      </c>
      <c r="F847" s="47" t="s">
        <v>367</v>
      </c>
      <c r="G847" s="97" t="s">
        <v>368</v>
      </c>
    </row>
    <row r="848" customFormat="false" ht="14.25" hidden="false" customHeight="false" outlineLevel="0" collapsed="false">
      <c r="A848" s="47" t="s">
        <v>226</v>
      </c>
      <c r="B848" s="47" t="n">
        <v>1</v>
      </c>
      <c r="C848" s="47" t="s">
        <v>1973</v>
      </c>
      <c r="D848" s="47" t="s">
        <v>1974</v>
      </c>
      <c r="E848" s="47" t="s">
        <v>8</v>
      </c>
      <c r="F848" s="47" t="s">
        <v>367</v>
      </c>
      <c r="G848" s="97" t="s">
        <v>368</v>
      </c>
    </row>
    <row r="849" customFormat="false" ht="14.25" hidden="false" customHeight="false" outlineLevel="0" collapsed="false">
      <c r="A849" s="47" t="s">
        <v>226</v>
      </c>
      <c r="B849" s="47" t="n">
        <v>1</v>
      </c>
      <c r="C849" s="47" t="s">
        <v>1975</v>
      </c>
      <c r="D849" s="47" t="s">
        <v>1976</v>
      </c>
      <c r="E849" s="47" t="s">
        <v>8</v>
      </c>
      <c r="F849" s="47" t="s">
        <v>367</v>
      </c>
      <c r="G849" s="97" t="s">
        <v>368</v>
      </c>
    </row>
    <row r="850" customFormat="false" ht="14.25" hidden="false" customHeight="false" outlineLevel="0" collapsed="false">
      <c r="A850" s="47" t="s">
        <v>226</v>
      </c>
      <c r="B850" s="47" t="n">
        <v>1</v>
      </c>
      <c r="C850" s="47" t="s">
        <v>1977</v>
      </c>
      <c r="D850" s="47" t="s">
        <v>1978</v>
      </c>
      <c r="E850" s="47" t="s">
        <v>8</v>
      </c>
      <c r="F850" s="47" t="s">
        <v>367</v>
      </c>
      <c r="G850" s="97" t="s">
        <v>368</v>
      </c>
    </row>
    <row r="851" customFormat="false" ht="14.25" hidden="false" customHeight="false" outlineLevel="0" collapsed="false">
      <c r="A851" s="47" t="s">
        <v>226</v>
      </c>
      <c r="B851" s="47" t="n">
        <v>1</v>
      </c>
      <c r="C851" s="47" t="s">
        <v>1979</v>
      </c>
      <c r="D851" s="47" t="s">
        <v>1980</v>
      </c>
      <c r="E851" s="47" t="s">
        <v>8</v>
      </c>
      <c r="F851" s="47" t="s">
        <v>367</v>
      </c>
      <c r="G851" s="97" t="s">
        <v>368</v>
      </c>
    </row>
    <row r="852" customFormat="false" ht="14.25" hidden="false" customHeight="false" outlineLevel="0" collapsed="false">
      <c r="A852" s="47" t="s">
        <v>226</v>
      </c>
      <c r="B852" s="47" t="n">
        <v>1</v>
      </c>
      <c r="C852" s="47" t="s">
        <v>1981</v>
      </c>
      <c r="D852" s="47" t="s">
        <v>1235</v>
      </c>
      <c r="E852" s="47" t="s">
        <v>8</v>
      </c>
      <c r="F852" s="47" t="s">
        <v>367</v>
      </c>
      <c r="G852" s="97" t="s">
        <v>368</v>
      </c>
    </row>
    <row r="853" customFormat="false" ht="14.25" hidden="false" customHeight="false" outlineLevel="0" collapsed="false">
      <c r="A853" s="47" t="s">
        <v>226</v>
      </c>
      <c r="B853" s="47" t="n">
        <v>1</v>
      </c>
      <c r="C853" s="47" t="s">
        <v>1982</v>
      </c>
      <c r="D853" s="47" t="s">
        <v>1983</v>
      </c>
      <c r="E853" s="47" t="s">
        <v>8</v>
      </c>
      <c r="F853" s="47" t="s">
        <v>367</v>
      </c>
      <c r="G853" s="97" t="s">
        <v>368</v>
      </c>
    </row>
    <row r="854" customFormat="false" ht="14.25" hidden="false" customHeight="false" outlineLevel="0" collapsed="false">
      <c r="A854" s="47" t="s">
        <v>226</v>
      </c>
      <c r="B854" s="47" t="n">
        <v>1</v>
      </c>
      <c r="C854" s="47" t="s">
        <v>1984</v>
      </c>
      <c r="D854" s="47" t="s">
        <v>1985</v>
      </c>
      <c r="E854" s="47" t="s">
        <v>8</v>
      </c>
      <c r="F854" s="47" t="s">
        <v>374</v>
      </c>
      <c r="G854" s="97" t="s">
        <v>381</v>
      </c>
    </row>
    <row r="855" customFormat="false" ht="14.25" hidden="false" customHeight="false" outlineLevel="0" collapsed="false">
      <c r="A855" s="47" t="s">
        <v>226</v>
      </c>
      <c r="B855" s="47" t="n">
        <v>1</v>
      </c>
      <c r="C855" s="47" t="s">
        <v>1986</v>
      </c>
      <c r="D855" s="47" t="s">
        <v>1987</v>
      </c>
      <c r="E855" s="47" t="s">
        <v>8</v>
      </c>
      <c r="F855" s="47" t="s">
        <v>374</v>
      </c>
      <c r="G855" s="97" t="s">
        <v>381</v>
      </c>
    </row>
    <row r="856" customFormat="false" ht="14.25" hidden="false" customHeight="false" outlineLevel="0" collapsed="false">
      <c r="A856" s="47" t="s">
        <v>226</v>
      </c>
      <c r="B856" s="47" t="n">
        <v>1</v>
      </c>
      <c r="C856" s="47" t="s">
        <v>1988</v>
      </c>
      <c r="D856" s="47" t="s">
        <v>1989</v>
      </c>
      <c r="E856" s="47" t="s">
        <v>8</v>
      </c>
      <c r="F856" s="47" t="s">
        <v>367</v>
      </c>
      <c r="G856" s="97" t="s">
        <v>368</v>
      </c>
    </row>
    <row r="857" customFormat="false" ht="14.25" hidden="false" customHeight="false" outlineLevel="0" collapsed="false">
      <c r="A857" s="47" t="s">
        <v>226</v>
      </c>
      <c r="B857" s="47" t="n">
        <v>1</v>
      </c>
      <c r="C857" s="47" t="s">
        <v>1990</v>
      </c>
      <c r="D857" s="47" t="s">
        <v>1991</v>
      </c>
      <c r="E857" s="47" t="s">
        <v>8</v>
      </c>
      <c r="F857" s="47" t="s">
        <v>367</v>
      </c>
      <c r="G857" s="97" t="s">
        <v>368</v>
      </c>
    </row>
    <row r="858" customFormat="false" ht="14.25" hidden="false" customHeight="false" outlineLevel="0" collapsed="false">
      <c r="A858" s="47" t="s">
        <v>226</v>
      </c>
      <c r="B858" s="47" t="n">
        <v>1</v>
      </c>
      <c r="C858" s="47" t="s">
        <v>1992</v>
      </c>
      <c r="D858" s="47" t="s">
        <v>1993</v>
      </c>
      <c r="E858" s="47" t="s">
        <v>8</v>
      </c>
      <c r="F858" s="47" t="s">
        <v>367</v>
      </c>
      <c r="G858" s="97" t="s">
        <v>368</v>
      </c>
    </row>
    <row r="859" customFormat="false" ht="14.25" hidden="false" customHeight="false" outlineLevel="0" collapsed="false">
      <c r="A859" s="47" t="s">
        <v>226</v>
      </c>
      <c r="B859" s="47" t="n">
        <v>1</v>
      </c>
      <c r="C859" s="47" t="s">
        <v>1994</v>
      </c>
      <c r="D859" s="47" t="s">
        <v>1995</v>
      </c>
      <c r="E859" s="47" t="s">
        <v>8</v>
      </c>
      <c r="F859" s="47" t="s">
        <v>367</v>
      </c>
      <c r="G859" s="97" t="s">
        <v>368</v>
      </c>
    </row>
    <row r="860" customFormat="false" ht="14.25" hidden="false" customHeight="false" outlineLevel="0" collapsed="false">
      <c r="A860" s="47" t="s">
        <v>226</v>
      </c>
      <c r="B860" s="47" t="n">
        <v>1</v>
      </c>
      <c r="C860" s="47" t="s">
        <v>1996</v>
      </c>
      <c r="D860" s="47" t="s">
        <v>1997</v>
      </c>
      <c r="E860" s="47" t="s">
        <v>8</v>
      </c>
      <c r="F860" s="47" t="s">
        <v>367</v>
      </c>
      <c r="G860" s="97" t="s">
        <v>368</v>
      </c>
    </row>
    <row r="861" customFormat="false" ht="14.25" hidden="false" customHeight="false" outlineLevel="0" collapsed="false">
      <c r="A861" s="47" t="s">
        <v>226</v>
      </c>
      <c r="B861" s="47" t="n">
        <v>1</v>
      </c>
      <c r="C861" s="47" t="s">
        <v>1998</v>
      </c>
      <c r="D861" s="47" t="s">
        <v>1999</v>
      </c>
      <c r="E861" s="47" t="s">
        <v>8</v>
      </c>
      <c r="F861" s="47" t="s">
        <v>374</v>
      </c>
      <c r="G861" s="97" t="s">
        <v>381</v>
      </c>
    </row>
    <row r="862" customFormat="false" ht="14.25" hidden="false" customHeight="false" outlineLevel="0" collapsed="false">
      <c r="A862" s="47" t="s">
        <v>226</v>
      </c>
      <c r="B862" s="47" t="n">
        <v>1</v>
      </c>
      <c r="C862" s="47" t="s">
        <v>2000</v>
      </c>
      <c r="D862" s="47" t="s">
        <v>2001</v>
      </c>
      <c r="E862" s="47" t="s">
        <v>8</v>
      </c>
      <c r="F862" s="47" t="s">
        <v>367</v>
      </c>
      <c r="G862" s="97" t="s">
        <v>368</v>
      </c>
    </row>
    <row r="863" customFormat="false" ht="14.25" hidden="false" customHeight="false" outlineLevel="0" collapsed="false">
      <c r="A863" s="47" t="s">
        <v>226</v>
      </c>
      <c r="B863" s="47" t="n">
        <v>1</v>
      </c>
      <c r="C863" s="47" t="s">
        <v>2002</v>
      </c>
      <c r="D863" s="47" t="s">
        <v>2003</v>
      </c>
      <c r="E863" s="47" t="s">
        <v>8</v>
      </c>
      <c r="F863" s="47" t="s">
        <v>367</v>
      </c>
      <c r="G863" s="97" t="s">
        <v>368</v>
      </c>
    </row>
    <row r="864" customFormat="false" ht="14.25" hidden="false" customHeight="false" outlineLevel="0" collapsed="false">
      <c r="A864" s="47" t="s">
        <v>226</v>
      </c>
      <c r="B864" s="47" t="n">
        <v>1</v>
      </c>
      <c r="C864" s="47" t="s">
        <v>2004</v>
      </c>
      <c r="D864" s="47" t="s">
        <v>2005</v>
      </c>
      <c r="E864" s="47" t="s">
        <v>8</v>
      </c>
      <c r="F864" s="47" t="s">
        <v>374</v>
      </c>
      <c r="G864" s="97" t="s">
        <v>381</v>
      </c>
    </row>
    <row r="865" customFormat="false" ht="14.25" hidden="false" customHeight="false" outlineLevel="0" collapsed="false">
      <c r="A865" s="98" t="s">
        <v>226</v>
      </c>
      <c r="B865" s="98" t="n">
        <v>1</v>
      </c>
      <c r="C865" s="47" t="s">
        <v>2006</v>
      </c>
      <c r="D865" s="47" t="s">
        <v>2007</v>
      </c>
      <c r="E865" s="98" t="s">
        <v>8</v>
      </c>
      <c r="F865" s="98" t="s">
        <v>367</v>
      </c>
      <c r="G865" s="97" t="s">
        <v>368</v>
      </c>
    </row>
    <row r="866" customFormat="false" ht="14.25" hidden="false" customHeight="false" outlineLevel="0" collapsed="false">
      <c r="A866" s="98" t="s">
        <v>226</v>
      </c>
      <c r="B866" s="98" t="n">
        <v>1</v>
      </c>
      <c r="C866" s="47" t="s">
        <v>2008</v>
      </c>
      <c r="D866" s="47" t="s">
        <v>2009</v>
      </c>
      <c r="E866" s="98" t="s">
        <v>8</v>
      </c>
      <c r="F866" s="98" t="s">
        <v>367</v>
      </c>
      <c r="G866" s="97" t="s">
        <v>368</v>
      </c>
    </row>
    <row r="867" customFormat="false" ht="14.25" hidden="false" customHeight="false" outlineLevel="0" collapsed="false">
      <c r="A867" s="98" t="s">
        <v>226</v>
      </c>
      <c r="B867" s="98" t="n">
        <v>1</v>
      </c>
      <c r="C867" s="47" t="s">
        <v>2010</v>
      </c>
      <c r="D867" s="47" t="s">
        <v>2011</v>
      </c>
      <c r="E867" s="98" t="s">
        <v>8</v>
      </c>
      <c r="F867" s="98" t="s">
        <v>367</v>
      </c>
      <c r="G867" s="97" t="s">
        <v>368</v>
      </c>
    </row>
    <row r="868" customFormat="false" ht="14.25" hidden="false" customHeight="false" outlineLevel="0" collapsed="false">
      <c r="A868" s="98" t="s">
        <v>226</v>
      </c>
      <c r="B868" s="98" t="n">
        <v>1</v>
      </c>
      <c r="C868" s="97" t="s">
        <v>2012</v>
      </c>
      <c r="D868" s="47" t="s">
        <v>2013</v>
      </c>
      <c r="E868" s="98" t="s">
        <v>8</v>
      </c>
      <c r="F868" s="98" t="s">
        <v>367</v>
      </c>
      <c r="G868" s="97" t="s">
        <v>368</v>
      </c>
    </row>
    <row r="869" customFormat="false" ht="14.25" hidden="false" customHeight="false" outlineLevel="0" collapsed="false">
      <c r="A869" s="98" t="s">
        <v>226</v>
      </c>
      <c r="B869" s="98" t="n">
        <v>1</v>
      </c>
      <c r="C869" s="47" t="s">
        <v>2014</v>
      </c>
      <c r="D869" s="47" t="s">
        <v>2015</v>
      </c>
      <c r="E869" s="98" t="s">
        <v>8</v>
      </c>
      <c r="F869" s="98" t="s">
        <v>367</v>
      </c>
      <c r="G869" s="97" t="s">
        <v>368</v>
      </c>
    </row>
    <row r="870" customFormat="false" ht="14.25" hidden="false" customHeight="false" outlineLevel="0" collapsed="false">
      <c r="A870" s="98" t="s">
        <v>226</v>
      </c>
      <c r="B870" s="98" t="n">
        <v>1</v>
      </c>
      <c r="C870" s="47" t="s">
        <v>2016</v>
      </c>
      <c r="D870" s="47" t="s">
        <v>2017</v>
      </c>
      <c r="E870" s="98" t="s">
        <v>8</v>
      </c>
      <c r="F870" s="98" t="s">
        <v>367</v>
      </c>
      <c r="G870" s="97" t="s">
        <v>368</v>
      </c>
    </row>
    <row r="871" customFormat="false" ht="14.25" hidden="false" customHeight="false" outlineLevel="0" collapsed="false">
      <c r="A871" s="98" t="s">
        <v>226</v>
      </c>
      <c r="B871" s="98" t="n">
        <v>1</v>
      </c>
      <c r="C871" s="47" t="s">
        <v>2018</v>
      </c>
      <c r="D871" s="47" t="s">
        <v>2019</v>
      </c>
      <c r="E871" s="98" t="s">
        <v>8</v>
      </c>
      <c r="F871" s="98" t="s">
        <v>367</v>
      </c>
      <c r="G871" s="97" t="s">
        <v>368</v>
      </c>
    </row>
    <row r="872" customFormat="false" ht="14.25" hidden="false" customHeight="false" outlineLevel="0" collapsed="false">
      <c r="A872" s="98" t="s">
        <v>226</v>
      </c>
      <c r="B872" s="98" t="n">
        <v>1</v>
      </c>
      <c r="C872" s="47" t="s">
        <v>2020</v>
      </c>
      <c r="D872" s="47" t="s">
        <v>2021</v>
      </c>
      <c r="E872" s="98" t="s">
        <v>8</v>
      </c>
      <c r="F872" s="98" t="s">
        <v>367</v>
      </c>
      <c r="G872" s="97" t="s">
        <v>368</v>
      </c>
    </row>
    <row r="873" customFormat="false" ht="14.25" hidden="false" customHeight="false" outlineLevel="0" collapsed="false">
      <c r="A873" s="98" t="s">
        <v>226</v>
      </c>
      <c r="B873" s="98" t="n">
        <v>1</v>
      </c>
      <c r="C873" s="47" t="s">
        <v>2022</v>
      </c>
      <c r="D873" s="47" t="s">
        <v>2023</v>
      </c>
      <c r="E873" s="98" t="s">
        <v>8</v>
      </c>
      <c r="F873" s="98" t="s">
        <v>367</v>
      </c>
      <c r="G873" s="97" t="s">
        <v>368</v>
      </c>
    </row>
    <row r="874" customFormat="false" ht="14.25" hidden="false" customHeight="false" outlineLevel="0" collapsed="false">
      <c r="A874" s="98" t="s">
        <v>226</v>
      </c>
      <c r="B874" s="98" t="n">
        <v>1</v>
      </c>
      <c r="C874" s="47" t="s">
        <v>2024</v>
      </c>
      <c r="D874" s="47" t="s">
        <v>2025</v>
      </c>
      <c r="E874" s="98" t="s">
        <v>8</v>
      </c>
      <c r="F874" s="98" t="s">
        <v>367</v>
      </c>
      <c r="G874" s="97" t="s">
        <v>368</v>
      </c>
    </row>
    <row r="875" customFormat="false" ht="14.25" hidden="false" customHeight="false" outlineLevel="0" collapsed="false">
      <c r="A875" s="98" t="s">
        <v>226</v>
      </c>
      <c r="B875" s="98" t="n">
        <v>1</v>
      </c>
      <c r="C875" s="47" t="s">
        <v>2026</v>
      </c>
      <c r="D875" s="47" t="s">
        <v>2027</v>
      </c>
      <c r="E875" s="98" t="s">
        <v>8</v>
      </c>
      <c r="F875" s="98" t="s">
        <v>367</v>
      </c>
      <c r="G875" s="97" t="s">
        <v>368</v>
      </c>
    </row>
    <row r="876" customFormat="false" ht="14.25" hidden="false" customHeight="false" outlineLevel="0" collapsed="false">
      <c r="A876" s="98" t="s">
        <v>226</v>
      </c>
      <c r="B876" s="98" t="n">
        <v>1</v>
      </c>
      <c r="C876" s="47" t="s">
        <v>2028</v>
      </c>
      <c r="D876" s="47" t="s">
        <v>2029</v>
      </c>
      <c r="E876" s="98" t="s">
        <v>8</v>
      </c>
      <c r="F876" s="98" t="s">
        <v>367</v>
      </c>
      <c r="G876" s="97" t="s">
        <v>368</v>
      </c>
    </row>
    <row r="877" customFormat="false" ht="14.25" hidden="false" customHeight="false" outlineLevel="0" collapsed="false">
      <c r="A877" s="98" t="s">
        <v>226</v>
      </c>
      <c r="B877" s="98" t="n">
        <v>1</v>
      </c>
      <c r="C877" s="47" t="s">
        <v>2030</v>
      </c>
      <c r="D877" s="47" t="s">
        <v>1925</v>
      </c>
      <c r="E877" s="98" t="s">
        <v>8</v>
      </c>
      <c r="F877" s="98" t="s">
        <v>367</v>
      </c>
      <c r="G877" s="97" t="s">
        <v>368</v>
      </c>
    </row>
    <row r="878" customFormat="false" ht="14.25" hidden="false" customHeight="false" outlineLevel="0" collapsed="false">
      <c r="A878" s="98" t="s">
        <v>226</v>
      </c>
      <c r="B878" s="98" t="n">
        <v>1</v>
      </c>
      <c r="C878" s="47" t="s">
        <v>2031</v>
      </c>
      <c r="D878" s="47" t="s">
        <v>2032</v>
      </c>
      <c r="E878" s="98" t="s">
        <v>8</v>
      </c>
      <c r="F878" s="98" t="s">
        <v>367</v>
      </c>
      <c r="G878" s="97" t="s">
        <v>368</v>
      </c>
    </row>
    <row r="879" customFormat="false" ht="14.25" hidden="false" customHeight="false" outlineLevel="0" collapsed="false">
      <c r="A879" s="98" t="s">
        <v>226</v>
      </c>
      <c r="B879" s="98" t="n">
        <v>1</v>
      </c>
      <c r="C879" s="47" t="s">
        <v>2033</v>
      </c>
      <c r="D879" s="47" t="s">
        <v>2034</v>
      </c>
      <c r="E879" s="98" t="s">
        <v>8</v>
      </c>
      <c r="F879" s="98" t="s">
        <v>367</v>
      </c>
      <c r="G879" s="97" t="s">
        <v>368</v>
      </c>
    </row>
    <row r="880" customFormat="false" ht="14.25" hidden="false" customHeight="false" outlineLevel="0" collapsed="false">
      <c r="A880" s="98" t="s">
        <v>226</v>
      </c>
      <c r="B880" s="98" t="n">
        <v>1</v>
      </c>
      <c r="C880" s="47" t="s">
        <v>2035</v>
      </c>
      <c r="D880" s="47" t="s">
        <v>2036</v>
      </c>
      <c r="E880" s="98" t="s">
        <v>8</v>
      </c>
      <c r="F880" s="98" t="s">
        <v>367</v>
      </c>
      <c r="G880" s="97" t="s">
        <v>368</v>
      </c>
    </row>
    <row r="881" customFormat="false" ht="14.25" hidden="false" customHeight="false" outlineLevel="0" collapsed="false">
      <c r="A881" s="98" t="s">
        <v>226</v>
      </c>
      <c r="B881" s="98" t="n">
        <v>1</v>
      </c>
      <c r="C881" s="47" t="s">
        <v>2037</v>
      </c>
      <c r="D881" s="47" t="s">
        <v>2038</v>
      </c>
      <c r="E881" s="98" t="s">
        <v>8</v>
      </c>
      <c r="F881" s="98" t="s">
        <v>367</v>
      </c>
      <c r="G881" s="97" t="s">
        <v>368</v>
      </c>
    </row>
    <row r="882" customFormat="false" ht="14.25" hidden="false" customHeight="false" outlineLevel="0" collapsed="false">
      <c r="A882" s="98" t="s">
        <v>226</v>
      </c>
      <c r="B882" s="98" t="n">
        <v>1</v>
      </c>
      <c r="C882" s="47" t="s">
        <v>2039</v>
      </c>
      <c r="D882" s="47" t="s">
        <v>2040</v>
      </c>
      <c r="E882" s="98" t="s">
        <v>8</v>
      </c>
      <c r="F882" s="98" t="s">
        <v>367</v>
      </c>
      <c r="G882" s="97" t="s">
        <v>368</v>
      </c>
    </row>
    <row r="883" customFormat="false" ht="14.25" hidden="false" customHeight="false" outlineLevel="0" collapsed="false">
      <c r="A883" s="98" t="s">
        <v>226</v>
      </c>
      <c r="B883" s="98" t="n">
        <v>1</v>
      </c>
      <c r="C883" s="47" t="s">
        <v>2041</v>
      </c>
      <c r="D883" s="47" t="s">
        <v>2042</v>
      </c>
      <c r="E883" s="98" t="s">
        <v>8</v>
      </c>
      <c r="F883" s="98" t="s">
        <v>367</v>
      </c>
      <c r="G883" s="97" t="s">
        <v>368</v>
      </c>
    </row>
    <row r="884" customFormat="false" ht="14.25" hidden="false" customHeight="false" outlineLevel="0" collapsed="false">
      <c r="A884" s="47" t="s">
        <v>226</v>
      </c>
      <c r="B884" s="47" t="n">
        <v>1</v>
      </c>
      <c r="C884" s="98" t="s">
        <v>2043</v>
      </c>
      <c r="D884" s="98" t="s">
        <v>2044</v>
      </c>
      <c r="E884" s="47" t="s">
        <v>8</v>
      </c>
      <c r="F884" s="47" t="s">
        <v>367</v>
      </c>
      <c r="G884" s="97" t="s">
        <v>368</v>
      </c>
    </row>
    <row r="885" customFormat="false" ht="14.25" hidden="false" customHeight="false" outlineLevel="0" collapsed="false">
      <c r="A885" s="47" t="s">
        <v>114</v>
      </c>
      <c r="B885" s="98" t="n">
        <v>4</v>
      </c>
      <c r="C885" s="97" t="s">
        <v>2045</v>
      </c>
      <c r="D885" s="97" t="s">
        <v>2046</v>
      </c>
      <c r="E885" s="47" t="s">
        <v>8</v>
      </c>
      <c r="F885" s="97" t="s">
        <v>367</v>
      </c>
      <c r="G885" s="97" t="s">
        <v>368</v>
      </c>
    </row>
    <row r="886" customFormat="false" ht="14.25" hidden="false" customHeight="false" outlineLevel="0" collapsed="false">
      <c r="A886" s="47" t="s">
        <v>114</v>
      </c>
      <c r="B886" s="98" t="n">
        <v>4</v>
      </c>
      <c r="C886" s="97" t="s">
        <v>2047</v>
      </c>
      <c r="D886" s="97" t="s">
        <v>2048</v>
      </c>
      <c r="E886" s="47" t="s">
        <v>8</v>
      </c>
      <c r="F886" s="97" t="s">
        <v>367</v>
      </c>
      <c r="G886" s="97" t="s">
        <v>368</v>
      </c>
    </row>
    <row r="887" customFormat="false" ht="14.25" hidden="false" customHeight="false" outlineLevel="0" collapsed="false">
      <c r="A887" s="47" t="s">
        <v>114</v>
      </c>
      <c r="B887" s="98" t="n">
        <v>4</v>
      </c>
      <c r="C887" s="97" t="s">
        <v>2049</v>
      </c>
      <c r="D887" s="97" t="s">
        <v>2050</v>
      </c>
      <c r="E887" s="47" t="s">
        <v>8</v>
      </c>
      <c r="F887" s="97" t="s">
        <v>367</v>
      </c>
      <c r="G887" s="97" t="s">
        <v>368</v>
      </c>
    </row>
    <row r="888" customFormat="false" ht="14.25" hidden="false" customHeight="false" outlineLevel="0" collapsed="false">
      <c r="A888" s="47" t="s">
        <v>114</v>
      </c>
      <c r="B888" s="98" t="n">
        <v>4</v>
      </c>
      <c r="C888" s="97" t="s">
        <v>700</v>
      </c>
      <c r="D888" s="97" t="s">
        <v>2051</v>
      </c>
      <c r="E888" s="47" t="s">
        <v>8</v>
      </c>
      <c r="F888" s="97" t="s">
        <v>374</v>
      </c>
      <c r="G888" s="97" t="s">
        <v>392</v>
      </c>
    </row>
    <row r="889" customFormat="false" ht="14.25" hidden="false" customHeight="false" outlineLevel="0" collapsed="false">
      <c r="A889" s="47" t="s">
        <v>114</v>
      </c>
      <c r="B889" s="98" t="n">
        <v>4</v>
      </c>
      <c r="C889" s="97" t="s">
        <v>2052</v>
      </c>
      <c r="D889" s="97" t="s">
        <v>2053</v>
      </c>
      <c r="E889" s="47" t="s">
        <v>8</v>
      </c>
      <c r="F889" s="97" t="s">
        <v>367</v>
      </c>
      <c r="G889" s="97" t="s">
        <v>368</v>
      </c>
    </row>
    <row r="890" customFormat="false" ht="14.25" hidden="false" customHeight="false" outlineLevel="0" collapsed="false">
      <c r="A890" s="47" t="s">
        <v>114</v>
      </c>
      <c r="B890" s="98" t="n">
        <v>4</v>
      </c>
      <c r="C890" s="97" t="s">
        <v>2054</v>
      </c>
      <c r="D890" s="97" t="s">
        <v>2055</v>
      </c>
      <c r="E890" s="47" t="s">
        <v>8</v>
      </c>
      <c r="F890" s="97" t="s">
        <v>367</v>
      </c>
      <c r="G890" s="97" t="s">
        <v>368</v>
      </c>
    </row>
    <row r="891" customFormat="false" ht="14.25" hidden="false" customHeight="false" outlineLevel="0" collapsed="false">
      <c r="A891" s="47" t="s">
        <v>114</v>
      </c>
      <c r="B891" s="98" t="n">
        <v>4</v>
      </c>
      <c r="C891" s="97" t="s">
        <v>2056</v>
      </c>
      <c r="D891" s="47" t="s">
        <v>2057</v>
      </c>
      <c r="E891" s="47" t="s">
        <v>8</v>
      </c>
      <c r="F891" s="97" t="s">
        <v>367</v>
      </c>
      <c r="G891" s="97" t="s">
        <v>368</v>
      </c>
    </row>
    <row r="892" customFormat="false" ht="14.25" hidden="false" customHeight="false" outlineLevel="0" collapsed="false">
      <c r="A892" s="47" t="s">
        <v>114</v>
      </c>
      <c r="B892" s="98" t="n">
        <v>4</v>
      </c>
      <c r="C892" s="97" t="s">
        <v>2058</v>
      </c>
      <c r="D892" s="97" t="s">
        <v>2059</v>
      </c>
      <c r="E892" s="47" t="s">
        <v>8</v>
      </c>
      <c r="F892" s="97" t="s">
        <v>367</v>
      </c>
      <c r="G892" s="97" t="s">
        <v>368</v>
      </c>
    </row>
    <row r="893" customFormat="false" ht="14.25" hidden="false" customHeight="false" outlineLevel="0" collapsed="false">
      <c r="A893" s="47" t="s">
        <v>114</v>
      </c>
      <c r="B893" s="98" t="n">
        <v>4</v>
      </c>
      <c r="C893" s="97" t="s">
        <v>2060</v>
      </c>
      <c r="D893" s="97" t="s">
        <v>2061</v>
      </c>
      <c r="E893" s="47" t="s">
        <v>8</v>
      </c>
      <c r="F893" s="97" t="s">
        <v>367</v>
      </c>
      <c r="G893" s="97" t="s">
        <v>368</v>
      </c>
    </row>
    <row r="894" customFormat="false" ht="14.25" hidden="false" customHeight="false" outlineLevel="0" collapsed="false">
      <c r="A894" s="47" t="s">
        <v>114</v>
      </c>
      <c r="B894" s="98" t="n">
        <v>4</v>
      </c>
      <c r="C894" s="97" t="s">
        <v>2062</v>
      </c>
      <c r="D894" s="97" t="s">
        <v>1251</v>
      </c>
      <c r="E894" s="47" t="s">
        <v>8</v>
      </c>
      <c r="F894" s="97" t="s">
        <v>367</v>
      </c>
      <c r="G894" s="97" t="s">
        <v>368</v>
      </c>
    </row>
    <row r="895" customFormat="false" ht="14.25" hidden="false" customHeight="false" outlineLevel="0" collapsed="false">
      <c r="A895" s="47" t="s">
        <v>114</v>
      </c>
      <c r="B895" s="98" t="n">
        <v>4</v>
      </c>
      <c r="C895" s="97" t="s">
        <v>2063</v>
      </c>
      <c r="D895" s="97" t="s">
        <v>2064</v>
      </c>
      <c r="E895" s="47" t="s">
        <v>8</v>
      </c>
      <c r="F895" s="97" t="s">
        <v>367</v>
      </c>
      <c r="G895" s="97" t="s">
        <v>368</v>
      </c>
    </row>
    <row r="896" customFormat="false" ht="14.25" hidden="false" customHeight="false" outlineLevel="0" collapsed="false">
      <c r="A896" s="47" t="s">
        <v>114</v>
      </c>
      <c r="B896" s="98" t="n">
        <v>4</v>
      </c>
      <c r="C896" s="97" t="s">
        <v>702</v>
      </c>
      <c r="D896" s="97" t="s">
        <v>2065</v>
      </c>
      <c r="E896" s="47" t="s">
        <v>8</v>
      </c>
      <c r="F896" s="97" t="s">
        <v>374</v>
      </c>
      <c r="G896" s="97" t="s">
        <v>381</v>
      </c>
    </row>
    <row r="897" customFormat="false" ht="14.25" hidden="false" customHeight="false" outlineLevel="0" collapsed="false">
      <c r="A897" s="47" t="s">
        <v>114</v>
      </c>
      <c r="B897" s="98" t="n">
        <v>4</v>
      </c>
      <c r="C897" s="97" t="s">
        <v>2066</v>
      </c>
      <c r="D897" s="97" t="s">
        <v>2067</v>
      </c>
      <c r="E897" s="47" t="s">
        <v>8</v>
      </c>
      <c r="F897" s="97" t="s">
        <v>367</v>
      </c>
      <c r="G897" s="97" t="s">
        <v>368</v>
      </c>
    </row>
    <row r="898" customFormat="false" ht="14.25" hidden="false" customHeight="false" outlineLevel="0" collapsed="false">
      <c r="A898" s="47" t="s">
        <v>114</v>
      </c>
      <c r="B898" s="98" t="n">
        <v>4</v>
      </c>
      <c r="C898" s="97" t="s">
        <v>2068</v>
      </c>
      <c r="D898" s="97" t="s">
        <v>2069</v>
      </c>
      <c r="E898" s="47" t="s">
        <v>8</v>
      </c>
      <c r="F898" s="97" t="s">
        <v>367</v>
      </c>
      <c r="G898" s="97" t="s">
        <v>368</v>
      </c>
    </row>
    <row r="899" customFormat="false" ht="14.25" hidden="false" customHeight="false" outlineLevel="0" collapsed="false">
      <c r="A899" s="47" t="s">
        <v>242</v>
      </c>
      <c r="B899" s="47" t="n">
        <v>338801</v>
      </c>
      <c r="C899" s="47" t="s">
        <v>2070</v>
      </c>
      <c r="D899" s="47" t="s">
        <v>2071</v>
      </c>
      <c r="E899" s="47" t="s">
        <v>1427</v>
      </c>
      <c r="F899" s="47" t="s">
        <v>374</v>
      </c>
      <c r="G899" s="97" t="s">
        <v>748</v>
      </c>
    </row>
    <row r="900" customFormat="false" ht="14.25" hidden="false" customHeight="false" outlineLevel="0" collapsed="false">
      <c r="A900" s="47" t="s">
        <v>242</v>
      </c>
      <c r="B900" s="47" t="n">
        <v>338801</v>
      </c>
      <c r="C900" s="47" t="s">
        <v>2072</v>
      </c>
      <c r="D900" s="47" t="s">
        <v>2073</v>
      </c>
      <c r="E900" s="47" t="s">
        <v>1427</v>
      </c>
      <c r="F900" s="47" t="s">
        <v>374</v>
      </c>
      <c r="G900" s="97" t="s">
        <v>748</v>
      </c>
    </row>
    <row r="901" customFormat="false" ht="14.25" hidden="false" customHeight="false" outlineLevel="0" collapsed="false">
      <c r="A901" s="47" t="s">
        <v>242</v>
      </c>
      <c r="B901" s="47" t="n">
        <v>338801</v>
      </c>
      <c r="C901" s="47" t="s">
        <v>2074</v>
      </c>
      <c r="D901" s="47" t="s">
        <v>2075</v>
      </c>
      <c r="E901" s="47" t="s">
        <v>1427</v>
      </c>
      <c r="F901" s="47" t="s">
        <v>374</v>
      </c>
      <c r="G901" s="97" t="s">
        <v>748</v>
      </c>
    </row>
    <row r="902" customFormat="false" ht="14.25" hidden="false" customHeight="false" outlineLevel="0" collapsed="false">
      <c r="A902" s="47" t="s">
        <v>242</v>
      </c>
      <c r="B902" s="47" t="n">
        <v>338801</v>
      </c>
      <c r="C902" s="47" t="s">
        <v>243</v>
      </c>
      <c r="D902" s="47" t="s">
        <v>2076</v>
      </c>
      <c r="E902" s="47" t="s">
        <v>1427</v>
      </c>
      <c r="F902" s="47" t="s">
        <v>374</v>
      </c>
      <c r="G902" s="97" t="s">
        <v>748</v>
      </c>
    </row>
    <row r="903" customFormat="false" ht="14.25" hidden="false" customHeight="false" outlineLevel="0" collapsed="false">
      <c r="A903" s="47" t="s">
        <v>242</v>
      </c>
      <c r="B903" s="47" t="n">
        <v>338801</v>
      </c>
      <c r="C903" s="47" t="s">
        <v>69</v>
      </c>
      <c r="D903" s="47" t="s">
        <v>2077</v>
      </c>
      <c r="E903" s="47" t="s">
        <v>1427</v>
      </c>
      <c r="F903" s="47" t="s">
        <v>374</v>
      </c>
      <c r="G903" s="97" t="s">
        <v>748</v>
      </c>
    </row>
    <row r="904" customFormat="false" ht="14.25" hidden="false" customHeight="false" outlineLevel="0" collapsed="false">
      <c r="A904" s="47" t="s">
        <v>242</v>
      </c>
      <c r="B904" s="47" t="n">
        <v>338801</v>
      </c>
      <c r="C904" s="47" t="s">
        <v>66</v>
      </c>
      <c r="D904" s="47" t="s">
        <v>2078</v>
      </c>
      <c r="E904" s="47" t="s">
        <v>1427</v>
      </c>
      <c r="F904" s="47" t="s">
        <v>374</v>
      </c>
      <c r="G904" s="97" t="s">
        <v>748</v>
      </c>
    </row>
    <row r="905" customFormat="false" ht="14.25" hidden="false" customHeight="false" outlineLevel="0" collapsed="false">
      <c r="A905" s="47" t="s">
        <v>6</v>
      </c>
      <c r="B905" s="47" t="n">
        <v>111172</v>
      </c>
      <c r="C905" s="47" t="s">
        <v>2079</v>
      </c>
      <c r="D905" s="47" t="s">
        <v>2080</v>
      </c>
      <c r="E905" s="47" t="s">
        <v>1427</v>
      </c>
      <c r="F905" s="47" t="s">
        <v>374</v>
      </c>
      <c r="G905" s="97" t="s">
        <v>392</v>
      </c>
    </row>
    <row r="906" customFormat="false" ht="14.25" hidden="false" customHeight="false" outlineLevel="0" collapsed="false">
      <c r="A906" s="47" t="s">
        <v>6</v>
      </c>
      <c r="B906" s="47" t="n">
        <v>111172</v>
      </c>
      <c r="C906" s="47" t="s">
        <v>2081</v>
      </c>
      <c r="D906" s="47" t="s">
        <v>2082</v>
      </c>
      <c r="E906" s="47" t="s">
        <v>1427</v>
      </c>
      <c r="F906" s="47" t="s">
        <v>374</v>
      </c>
      <c r="G906" s="97" t="s">
        <v>748</v>
      </c>
    </row>
    <row r="907" customFormat="false" ht="14.25" hidden="false" customHeight="false" outlineLevel="0" collapsed="false">
      <c r="A907" s="47" t="s">
        <v>6</v>
      </c>
      <c r="B907" s="47" t="n">
        <v>111172</v>
      </c>
      <c r="C907" s="47" t="s">
        <v>2083</v>
      </c>
      <c r="D907" s="47" t="s">
        <v>2084</v>
      </c>
      <c r="E907" s="47" t="s">
        <v>1427</v>
      </c>
      <c r="F907" s="47" t="s">
        <v>374</v>
      </c>
      <c r="G907" s="97" t="s">
        <v>748</v>
      </c>
    </row>
    <row r="908" customFormat="false" ht="14.25" hidden="false" customHeight="false" outlineLevel="0" collapsed="false">
      <c r="A908" s="47" t="s">
        <v>6</v>
      </c>
      <c r="B908" s="47" t="n">
        <v>111172</v>
      </c>
      <c r="C908" s="47" t="s">
        <v>2085</v>
      </c>
      <c r="D908" s="47" t="s">
        <v>2086</v>
      </c>
      <c r="E908" s="47" t="s">
        <v>1427</v>
      </c>
      <c r="F908" s="47" t="s">
        <v>374</v>
      </c>
      <c r="G908" s="97" t="s">
        <v>748</v>
      </c>
    </row>
    <row r="909" customFormat="false" ht="14.25" hidden="false" customHeight="false" outlineLevel="0" collapsed="false">
      <c r="A909" s="47" t="s">
        <v>6</v>
      </c>
      <c r="B909" s="47" t="n">
        <v>111172</v>
      </c>
      <c r="C909" s="47" t="s">
        <v>156</v>
      </c>
      <c r="D909" s="47" t="s">
        <v>2087</v>
      </c>
      <c r="E909" s="47" t="s">
        <v>1427</v>
      </c>
      <c r="F909" s="47" t="s">
        <v>374</v>
      </c>
      <c r="G909" s="97" t="s">
        <v>748</v>
      </c>
    </row>
    <row r="910" customFormat="false" ht="14.25" hidden="false" customHeight="false" outlineLevel="0" collapsed="false">
      <c r="A910" s="98" t="s">
        <v>276</v>
      </c>
      <c r="B910" s="98" t="n">
        <v>526970</v>
      </c>
      <c r="C910" s="98" t="s">
        <v>2088</v>
      </c>
      <c r="D910" s="98" t="s">
        <v>2089</v>
      </c>
      <c r="E910" s="98" t="s">
        <v>1427</v>
      </c>
      <c r="F910" s="98" t="s">
        <v>374</v>
      </c>
      <c r="G910" s="97" t="s">
        <v>748</v>
      </c>
    </row>
    <row r="911" customFormat="false" ht="14.25" hidden="false" customHeight="false" outlineLevel="0" collapsed="false">
      <c r="A911" s="98" t="s">
        <v>276</v>
      </c>
      <c r="B911" s="98" t="n">
        <v>526970</v>
      </c>
      <c r="C911" s="98" t="s">
        <v>2090</v>
      </c>
      <c r="D911" s="99" t="s">
        <v>2091</v>
      </c>
      <c r="E911" s="98" t="s">
        <v>1427</v>
      </c>
      <c r="F911" s="98" t="s">
        <v>374</v>
      </c>
      <c r="G911" s="97" t="s">
        <v>748</v>
      </c>
    </row>
    <row r="912" customFormat="false" ht="14.25" hidden="false" customHeight="false" outlineLevel="0" collapsed="false">
      <c r="A912" s="98" t="s">
        <v>276</v>
      </c>
      <c r="B912" s="98" t="n">
        <v>526970</v>
      </c>
      <c r="C912" s="98" t="s">
        <v>2092</v>
      </c>
      <c r="D912" s="99" t="s">
        <v>2093</v>
      </c>
      <c r="E912" s="98" t="s">
        <v>1427</v>
      </c>
      <c r="F912" s="98" t="s">
        <v>374</v>
      </c>
      <c r="G912" s="97" t="s">
        <v>748</v>
      </c>
    </row>
    <row r="913" customFormat="false" ht="14.25" hidden="false" customHeight="false" outlineLevel="0" collapsed="false">
      <c r="A913" s="47" t="s">
        <v>561</v>
      </c>
      <c r="B913" s="47" t="n">
        <v>7</v>
      </c>
      <c r="C913" s="47" t="s">
        <v>2094</v>
      </c>
      <c r="D913" s="47" t="s">
        <v>2095</v>
      </c>
      <c r="E913" s="47" t="s">
        <v>1427</v>
      </c>
      <c r="F913" s="47" t="s">
        <v>374</v>
      </c>
      <c r="G913" s="97" t="s">
        <v>748</v>
      </c>
    </row>
    <row r="914" customFormat="false" ht="14.25" hidden="false" customHeight="false" outlineLevel="0" collapsed="false">
      <c r="A914" s="47" t="s">
        <v>561</v>
      </c>
      <c r="B914" s="47" t="n">
        <v>7</v>
      </c>
      <c r="C914" s="47" t="s">
        <v>2096</v>
      </c>
      <c r="D914" s="47" t="s">
        <v>2097</v>
      </c>
      <c r="E914" s="47" t="s">
        <v>1427</v>
      </c>
      <c r="F914" s="47" t="s">
        <v>374</v>
      </c>
      <c r="G914" s="97" t="s">
        <v>748</v>
      </c>
    </row>
    <row r="915" customFormat="false" ht="14.25" hidden="false" customHeight="false" outlineLevel="0" collapsed="false">
      <c r="A915" s="47" t="s">
        <v>561</v>
      </c>
      <c r="B915" s="47" t="n">
        <v>7</v>
      </c>
      <c r="C915" s="47" t="s">
        <v>2098</v>
      </c>
      <c r="D915" s="47" t="s">
        <v>2095</v>
      </c>
      <c r="E915" s="47" t="s">
        <v>1427</v>
      </c>
      <c r="F915" s="47" t="s">
        <v>374</v>
      </c>
      <c r="G915" s="97" t="s">
        <v>748</v>
      </c>
    </row>
    <row r="916" customFormat="false" ht="14.25" hidden="false" customHeight="false" outlineLevel="0" collapsed="false">
      <c r="A916" s="47" t="s">
        <v>561</v>
      </c>
      <c r="B916" s="47" t="n">
        <v>7</v>
      </c>
      <c r="C916" s="47" t="s">
        <v>2099</v>
      </c>
      <c r="D916" s="47" t="s">
        <v>2100</v>
      </c>
      <c r="E916" s="47" t="s">
        <v>1427</v>
      </c>
      <c r="F916" s="47" t="s">
        <v>374</v>
      </c>
      <c r="G916" s="97" t="s">
        <v>748</v>
      </c>
    </row>
    <row r="917" customFormat="false" ht="14.25" hidden="false" customHeight="false" outlineLevel="0" collapsed="false">
      <c r="A917" s="47" t="s">
        <v>561</v>
      </c>
      <c r="B917" s="47" t="n">
        <v>7</v>
      </c>
      <c r="C917" s="47" t="s">
        <v>2101</v>
      </c>
      <c r="D917" s="47" t="s">
        <v>2102</v>
      </c>
      <c r="E917" s="47" t="s">
        <v>1427</v>
      </c>
      <c r="F917" s="47" t="s">
        <v>374</v>
      </c>
      <c r="G917" s="97" t="s">
        <v>748</v>
      </c>
    </row>
    <row r="918" customFormat="false" ht="14.25" hidden="false" customHeight="false" outlineLevel="0" collapsed="false">
      <c r="A918" s="47" t="s">
        <v>561</v>
      </c>
      <c r="B918" s="47" t="n">
        <v>7</v>
      </c>
      <c r="C918" s="47" t="s">
        <v>2103</v>
      </c>
      <c r="D918" s="47" t="s">
        <v>2104</v>
      </c>
      <c r="E918" s="47" t="s">
        <v>1427</v>
      </c>
      <c r="F918" s="47" t="s">
        <v>374</v>
      </c>
      <c r="G918" s="97" t="s">
        <v>748</v>
      </c>
    </row>
    <row r="919" customFormat="false" ht="14.25" hidden="false" customHeight="false" outlineLevel="0" collapsed="false">
      <c r="A919" s="47" t="s">
        <v>561</v>
      </c>
      <c r="B919" s="47" t="n">
        <v>7</v>
      </c>
      <c r="C919" s="47" t="s">
        <v>2105</v>
      </c>
      <c r="D919" s="47" t="s">
        <v>2106</v>
      </c>
      <c r="E919" s="47" t="s">
        <v>1427</v>
      </c>
      <c r="F919" s="47" t="s">
        <v>374</v>
      </c>
      <c r="G919" s="97" t="s">
        <v>748</v>
      </c>
    </row>
    <row r="920" customFormat="false" ht="14.25" hidden="false" customHeight="false" outlineLevel="0" collapsed="false">
      <c r="A920" s="47" t="s">
        <v>561</v>
      </c>
      <c r="B920" s="47" t="n">
        <v>7</v>
      </c>
      <c r="C920" s="47" t="s">
        <v>2107</v>
      </c>
      <c r="D920" s="47" t="s">
        <v>2108</v>
      </c>
      <c r="E920" s="47" t="s">
        <v>1427</v>
      </c>
      <c r="F920" s="47" t="s">
        <v>374</v>
      </c>
      <c r="G920" s="97" t="s">
        <v>748</v>
      </c>
    </row>
    <row r="921" customFormat="false" ht="14.25" hidden="false" customHeight="false" outlineLevel="0" collapsed="false">
      <c r="A921" s="47" t="s">
        <v>561</v>
      </c>
      <c r="B921" s="47" t="n">
        <v>7</v>
      </c>
      <c r="C921" s="47" t="s">
        <v>2109</v>
      </c>
      <c r="D921" s="47" t="s">
        <v>2110</v>
      </c>
      <c r="E921" s="47" t="s">
        <v>1427</v>
      </c>
      <c r="F921" s="47" t="s">
        <v>374</v>
      </c>
      <c r="G921" s="97" t="s">
        <v>748</v>
      </c>
    </row>
    <row r="922" customFormat="false" ht="14.25" hidden="false" customHeight="false" outlineLevel="0" collapsed="false">
      <c r="A922" s="47" t="s">
        <v>114</v>
      </c>
      <c r="B922" s="98" t="n">
        <v>4</v>
      </c>
      <c r="C922" s="47" t="s">
        <v>2111</v>
      </c>
      <c r="D922" s="47" t="s">
        <v>2112</v>
      </c>
      <c r="E922" s="47" t="s">
        <v>1427</v>
      </c>
      <c r="F922" s="47" t="s">
        <v>374</v>
      </c>
      <c r="G922" s="97" t="s">
        <v>748</v>
      </c>
    </row>
    <row r="923" customFormat="false" ht="14.25" hidden="false" customHeight="false" outlineLevel="0" collapsed="false">
      <c r="A923" s="47" t="s">
        <v>114</v>
      </c>
      <c r="B923" s="98" t="n">
        <v>4</v>
      </c>
      <c r="C923" s="47" t="s">
        <v>2113</v>
      </c>
      <c r="D923" s="47" t="s">
        <v>2114</v>
      </c>
      <c r="E923" s="47" t="s">
        <v>1427</v>
      </c>
      <c r="F923" s="47" t="s">
        <v>374</v>
      </c>
      <c r="G923" s="97" t="s">
        <v>748</v>
      </c>
    </row>
    <row r="924" customFormat="false" ht="14.25" hidden="false" customHeight="false" outlineLevel="0" collapsed="false">
      <c r="A924" s="47" t="s">
        <v>114</v>
      </c>
      <c r="B924" s="98" t="n">
        <v>4</v>
      </c>
      <c r="C924" s="47" t="s">
        <v>2115</v>
      </c>
      <c r="D924" s="47" t="s">
        <v>2116</v>
      </c>
      <c r="E924" s="47" t="s">
        <v>1427</v>
      </c>
      <c r="F924" s="47" t="s">
        <v>374</v>
      </c>
      <c r="G924" s="97" t="s">
        <v>748</v>
      </c>
    </row>
    <row r="925" customFormat="false" ht="14.25" hidden="false" customHeight="false" outlineLevel="0" collapsed="false">
      <c r="A925" s="47" t="s">
        <v>114</v>
      </c>
      <c r="B925" s="98" t="n">
        <v>4</v>
      </c>
      <c r="C925" s="47" t="s">
        <v>2117</v>
      </c>
      <c r="D925" s="47" t="s">
        <v>2118</v>
      </c>
      <c r="E925" s="47" t="s">
        <v>1427</v>
      </c>
      <c r="F925" s="47" t="s">
        <v>374</v>
      </c>
      <c r="G925" s="97" t="s">
        <v>748</v>
      </c>
    </row>
    <row r="926" customFormat="false" ht="14.25" hidden="false" customHeight="false" outlineLevel="0" collapsed="false">
      <c r="A926" s="47" t="s">
        <v>114</v>
      </c>
      <c r="B926" s="98" t="n">
        <v>4</v>
      </c>
      <c r="C926" s="47" t="s">
        <v>2119</v>
      </c>
      <c r="D926" s="47" t="s">
        <v>2120</v>
      </c>
      <c r="E926" s="47" t="s">
        <v>1427</v>
      </c>
      <c r="F926" s="47" t="s">
        <v>374</v>
      </c>
      <c r="G926" s="97" t="s">
        <v>748</v>
      </c>
    </row>
    <row r="927" customFormat="false" ht="14.25" hidden="false" customHeight="false" outlineLevel="0" collapsed="false">
      <c r="A927" s="47" t="s">
        <v>114</v>
      </c>
      <c r="B927" s="98" t="n">
        <v>4</v>
      </c>
      <c r="C927" s="47" t="s">
        <v>2121</v>
      </c>
      <c r="D927" s="47" t="s">
        <v>2122</v>
      </c>
      <c r="E927" s="47" t="s">
        <v>1427</v>
      </c>
      <c r="F927" s="47" t="s">
        <v>374</v>
      </c>
      <c r="G927" s="97" t="s">
        <v>748</v>
      </c>
    </row>
    <row r="928" customFormat="false" ht="14.25" hidden="false" customHeight="false" outlineLevel="0" collapsed="false">
      <c r="A928" s="47" t="s">
        <v>114</v>
      </c>
      <c r="B928" s="98" t="n">
        <v>4</v>
      </c>
      <c r="C928" s="47" t="s">
        <v>117</v>
      </c>
      <c r="D928" s="47" t="s">
        <v>2123</v>
      </c>
      <c r="E928" s="47" t="s">
        <v>1427</v>
      </c>
      <c r="F928" s="47" t="s">
        <v>374</v>
      </c>
      <c r="G928" s="97" t="s">
        <v>748</v>
      </c>
    </row>
    <row r="929" customFormat="false" ht="14.25" hidden="false" customHeight="false" outlineLevel="0" collapsed="false">
      <c r="A929" s="47" t="s">
        <v>114</v>
      </c>
      <c r="B929" s="98" t="n">
        <v>4</v>
      </c>
      <c r="C929" s="47" t="s">
        <v>2124</v>
      </c>
      <c r="D929" s="47" t="s">
        <v>2125</v>
      </c>
      <c r="E929" s="47" t="s">
        <v>1427</v>
      </c>
      <c r="F929" s="47" t="s">
        <v>374</v>
      </c>
      <c r="G929" s="97" t="s">
        <v>748</v>
      </c>
    </row>
    <row r="930" customFormat="false" ht="14.25" hidden="false" customHeight="false" outlineLevel="0" collapsed="false">
      <c r="A930" s="47" t="s">
        <v>114</v>
      </c>
      <c r="B930" s="98" t="n">
        <v>4</v>
      </c>
      <c r="C930" s="47" t="s">
        <v>2126</v>
      </c>
      <c r="D930" s="47" t="s">
        <v>2127</v>
      </c>
      <c r="E930" s="47" t="s">
        <v>1427</v>
      </c>
      <c r="F930" s="47" t="s">
        <v>374</v>
      </c>
      <c r="G930" s="97" t="s">
        <v>748</v>
      </c>
    </row>
    <row r="931" customFormat="false" ht="14.25" hidden="false" customHeight="false" outlineLevel="0" collapsed="false">
      <c r="A931" s="47" t="s">
        <v>114</v>
      </c>
      <c r="B931" s="98" t="n">
        <v>4</v>
      </c>
      <c r="C931" s="47" t="s">
        <v>2128</v>
      </c>
      <c r="D931" s="47" t="s">
        <v>2129</v>
      </c>
      <c r="E931" s="47" t="s">
        <v>1427</v>
      </c>
      <c r="F931" s="47" t="s">
        <v>374</v>
      </c>
      <c r="G931" s="97" t="s">
        <v>748</v>
      </c>
    </row>
    <row r="932" customFormat="false" ht="14.25" hidden="false" customHeight="false" outlineLevel="0" collapsed="false">
      <c r="A932" s="47" t="s">
        <v>114</v>
      </c>
      <c r="B932" s="98" t="n">
        <v>4</v>
      </c>
      <c r="C932" s="47" t="s">
        <v>2130</v>
      </c>
      <c r="D932" s="47" t="s">
        <v>2131</v>
      </c>
      <c r="E932" s="47" t="s">
        <v>1427</v>
      </c>
      <c r="F932" s="47" t="s">
        <v>374</v>
      </c>
      <c r="G932" s="97" t="s">
        <v>748</v>
      </c>
    </row>
    <row r="933" customFormat="false" ht="14.25" hidden="false" customHeight="false" outlineLevel="0" collapsed="false">
      <c r="A933" s="47" t="s">
        <v>114</v>
      </c>
      <c r="B933" s="98" t="n">
        <v>4</v>
      </c>
      <c r="C933" s="47" t="s">
        <v>2132</v>
      </c>
      <c r="D933" s="47" t="s">
        <v>2133</v>
      </c>
      <c r="E933" s="47" t="s">
        <v>1427</v>
      </c>
      <c r="F933" s="47" t="s">
        <v>374</v>
      </c>
      <c r="G933" s="97" t="s">
        <v>748</v>
      </c>
    </row>
    <row r="934" customFormat="false" ht="14.25" hidden="false" customHeight="false" outlineLevel="0" collapsed="false">
      <c r="A934" s="47" t="s">
        <v>114</v>
      </c>
      <c r="B934" s="98" t="n">
        <v>4</v>
      </c>
      <c r="C934" s="47" t="s">
        <v>2134</v>
      </c>
      <c r="D934" s="47" t="s">
        <v>2135</v>
      </c>
      <c r="E934" s="47" t="s">
        <v>1427</v>
      </c>
      <c r="F934" s="47" t="s">
        <v>374</v>
      </c>
      <c r="G934" s="97" t="s">
        <v>748</v>
      </c>
    </row>
    <row r="935" customFormat="false" ht="14.25" hidden="false" customHeight="false" outlineLevel="0" collapsed="false">
      <c r="A935" s="47" t="s">
        <v>114</v>
      </c>
      <c r="B935" s="98" t="n">
        <v>4</v>
      </c>
      <c r="C935" s="47" t="s">
        <v>2136</v>
      </c>
      <c r="D935" s="47" t="s">
        <v>2137</v>
      </c>
      <c r="E935" s="47" t="s">
        <v>1427</v>
      </c>
      <c r="F935" s="47" t="s">
        <v>374</v>
      </c>
      <c r="G935" s="97" t="s">
        <v>748</v>
      </c>
    </row>
    <row r="936" customFormat="false" ht="14.25" hidden="false" customHeight="false" outlineLevel="0" collapsed="false">
      <c r="A936" s="47" t="s">
        <v>114</v>
      </c>
      <c r="B936" s="98" t="n">
        <v>4</v>
      </c>
      <c r="C936" s="47" t="s">
        <v>2138</v>
      </c>
      <c r="D936" s="47" t="s">
        <v>2139</v>
      </c>
      <c r="E936" s="47" t="s">
        <v>1427</v>
      </c>
      <c r="F936" s="47" t="s">
        <v>374</v>
      </c>
      <c r="G936" s="97" t="s">
        <v>748</v>
      </c>
    </row>
    <row r="937" customFormat="false" ht="14.25" hidden="false" customHeight="false" outlineLevel="0" collapsed="false">
      <c r="A937" s="47" t="s">
        <v>114</v>
      </c>
      <c r="B937" s="98" t="n">
        <v>4</v>
      </c>
      <c r="C937" s="47" t="s">
        <v>2140</v>
      </c>
      <c r="D937" s="47" t="s">
        <v>2141</v>
      </c>
      <c r="E937" s="47" t="s">
        <v>1427</v>
      </c>
      <c r="F937" s="47" t="s">
        <v>374</v>
      </c>
      <c r="G937" s="97" t="s">
        <v>748</v>
      </c>
    </row>
    <row r="938" customFormat="false" ht="14.25" hidden="false" customHeight="false" outlineLevel="0" collapsed="false">
      <c r="A938" s="47" t="s">
        <v>114</v>
      </c>
      <c r="B938" s="98" t="n">
        <v>4</v>
      </c>
      <c r="C938" s="47" t="s">
        <v>2142</v>
      </c>
      <c r="D938" s="47" t="s">
        <v>2143</v>
      </c>
      <c r="E938" s="47" t="s">
        <v>1427</v>
      </c>
      <c r="F938" s="47" t="s">
        <v>374</v>
      </c>
      <c r="G938" s="97" t="s">
        <v>748</v>
      </c>
    </row>
    <row r="939" customFormat="false" ht="14.25" hidden="false" customHeight="false" outlineLevel="0" collapsed="false">
      <c r="A939" s="47" t="s">
        <v>114</v>
      </c>
      <c r="B939" s="98" t="n">
        <v>4</v>
      </c>
      <c r="C939" s="47" t="s">
        <v>262</v>
      </c>
      <c r="D939" s="47" t="s">
        <v>2144</v>
      </c>
      <c r="E939" s="47" t="s">
        <v>1427</v>
      </c>
      <c r="F939" s="47" t="s">
        <v>374</v>
      </c>
      <c r="G939" s="97" t="s">
        <v>748</v>
      </c>
    </row>
    <row r="940" customFormat="false" ht="14.25" hidden="false" customHeight="false" outlineLevel="0" collapsed="false">
      <c r="A940" s="47" t="s">
        <v>114</v>
      </c>
      <c r="B940" s="98" t="n">
        <v>4</v>
      </c>
      <c r="C940" s="47" t="s">
        <v>2145</v>
      </c>
      <c r="D940" s="47" t="s">
        <v>2146</v>
      </c>
      <c r="E940" s="47" t="s">
        <v>1427</v>
      </c>
      <c r="F940" s="47" t="s">
        <v>374</v>
      </c>
      <c r="G940" s="97" t="s">
        <v>748</v>
      </c>
    </row>
    <row r="941" customFormat="false" ht="14.25" hidden="false" customHeight="false" outlineLevel="0" collapsed="false">
      <c r="A941" s="98" t="s">
        <v>823</v>
      </c>
      <c r="B941" s="98" t="n">
        <v>623225021</v>
      </c>
      <c r="C941" s="98" t="s">
        <v>2147</v>
      </c>
      <c r="D941" s="98" t="s">
        <v>2148</v>
      </c>
      <c r="E941" s="98" t="s">
        <v>1427</v>
      </c>
      <c r="F941" s="98" t="s">
        <v>374</v>
      </c>
      <c r="G941" s="97" t="s">
        <v>748</v>
      </c>
    </row>
    <row r="942" customFormat="false" ht="14.25" hidden="false" customHeight="false" outlineLevel="0" collapsed="false">
      <c r="A942" s="98" t="s">
        <v>823</v>
      </c>
      <c r="B942" s="98" t="n">
        <v>623225021</v>
      </c>
      <c r="C942" s="98" t="s">
        <v>2149</v>
      </c>
      <c r="D942" s="98" t="s">
        <v>2150</v>
      </c>
      <c r="E942" s="98" t="s">
        <v>1427</v>
      </c>
      <c r="F942" s="98" t="s">
        <v>374</v>
      </c>
      <c r="G942" s="97" t="s">
        <v>748</v>
      </c>
    </row>
    <row r="943" customFormat="false" ht="14.25" hidden="false" customHeight="false" outlineLevel="0" collapsed="false">
      <c r="A943" s="98" t="s">
        <v>823</v>
      </c>
      <c r="B943" s="98" t="n">
        <v>623225021</v>
      </c>
      <c r="C943" s="98" t="s">
        <v>2151</v>
      </c>
      <c r="D943" s="98" t="s">
        <v>2152</v>
      </c>
      <c r="E943" s="98" t="s">
        <v>1427</v>
      </c>
      <c r="F943" s="98" t="s">
        <v>374</v>
      </c>
      <c r="G943" s="97" t="s">
        <v>748</v>
      </c>
    </row>
    <row r="944" customFormat="false" ht="14.25" hidden="false" customHeight="false" outlineLevel="0" collapsed="false">
      <c r="A944" s="47" t="s">
        <v>147</v>
      </c>
      <c r="B944" s="47" t="n">
        <v>44551</v>
      </c>
      <c r="C944" s="47" t="s">
        <v>2153</v>
      </c>
      <c r="D944" s="47" t="s">
        <v>2154</v>
      </c>
      <c r="E944" s="47" t="s">
        <v>1427</v>
      </c>
      <c r="F944" s="47" t="s">
        <v>374</v>
      </c>
      <c r="G944" s="97" t="s">
        <v>748</v>
      </c>
    </row>
    <row r="945" customFormat="false" ht="14.25" hidden="false" customHeight="false" outlineLevel="0" collapsed="false">
      <c r="A945" s="47" t="s">
        <v>147</v>
      </c>
      <c r="B945" s="47" t="n">
        <v>44551</v>
      </c>
      <c r="C945" s="47" t="s">
        <v>2155</v>
      </c>
      <c r="D945" s="47" t="s">
        <v>2156</v>
      </c>
      <c r="E945" s="47" t="s">
        <v>1427</v>
      </c>
      <c r="F945" s="47" t="s">
        <v>374</v>
      </c>
      <c r="G945" s="97" t="s">
        <v>748</v>
      </c>
    </row>
    <row r="946" customFormat="false" ht="14.25" hidden="false" customHeight="false" outlineLevel="0" collapsed="false">
      <c r="A946" s="47" t="s">
        <v>147</v>
      </c>
      <c r="B946" s="47" t="n">
        <v>44551</v>
      </c>
      <c r="C946" s="47" t="s">
        <v>2157</v>
      </c>
      <c r="D946" s="47" t="s">
        <v>2158</v>
      </c>
      <c r="E946" s="47" t="s">
        <v>1427</v>
      </c>
      <c r="F946" s="47" t="s">
        <v>374</v>
      </c>
      <c r="G946" s="97" t="s">
        <v>748</v>
      </c>
    </row>
    <row r="947" customFormat="false" ht="14.25" hidden="false" customHeight="false" outlineLevel="0" collapsed="false">
      <c r="A947" s="47" t="s">
        <v>147</v>
      </c>
      <c r="B947" s="47" t="n">
        <v>44551</v>
      </c>
      <c r="C947" s="47" t="s">
        <v>2159</v>
      </c>
      <c r="D947" s="47" t="s">
        <v>2160</v>
      </c>
      <c r="E947" s="47" t="s">
        <v>1427</v>
      </c>
      <c r="F947" s="47" t="s">
        <v>374</v>
      </c>
      <c r="G947" s="97" t="s">
        <v>748</v>
      </c>
    </row>
    <row r="948" customFormat="false" ht="14.25" hidden="false" customHeight="false" outlineLevel="0" collapsed="false">
      <c r="A948" s="47" t="s">
        <v>147</v>
      </c>
      <c r="B948" s="47" t="n">
        <v>44551</v>
      </c>
      <c r="C948" s="47" t="s">
        <v>2161</v>
      </c>
      <c r="D948" s="47" t="s">
        <v>2162</v>
      </c>
      <c r="E948" s="47" t="s">
        <v>1427</v>
      </c>
      <c r="F948" s="47" t="s">
        <v>374</v>
      </c>
      <c r="G948" s="97" t="s">
        <v>748</v>
      </c>
    </row>
    <row r="949" customFormat="false" ht="14.25" hidden="false" customHeight="false" outlineLevel="0" collapsed="false">
      <c r="A949" s="47" t="s">
        <v>147</v>
      </c>
      <c r="B949" s="47" t="n">
        <v>44551</v>
      </c>
      <c r="C949" s="47" t="s">
        <v>2163</v>
      </c>
      <c r="D949" s="47" t="s">
        <v>2164</v>
      </c>
      <c r="E949" s="47" t="s">
        <v>1427</v>
      </c>
      <c r="F949" s="47" t="s">
        <v>374</v>
      </c>
      <c r="G949" s="97" t="s">
        <v>748</v>
      </c>
    </row>
    <row r="950" customFormat="false" ht="14.25" hidden="false" customHeight="false" outlineLevel="0" collapsed="false">
      <c r="A950" s="47" t="s">
        <v>147</v>
      </c>
      <c r="B950" s="47" t="n">
        <v>44551</v>
      </c>
      <c r="C950" s="47" t="s">
        <v>148</v>
      </c>
      <c r="D950" s="47" t="s">
        <v>2165</v>
      </c>
      <c r="E950" s="47" t="s">
        <v>1427</v>
      </c>
      <c r="F950" s="47" t="s">
        <v>374</v>
      </c>
      <c r="G950" s="97" t="s">
        <v>748</v>
      </c>
    </row>
    <row r="951" customFormat="false" ht="14.25" hidden="false" customHeight="false" outlineLevel="0" collapsed="false">
      <c r="A951" s="47" t="s">
        <v>147</v>
      </c>
      <c r="B951" s="47" t="n">
        <v>44551</v>
      </c>
      <c r="C951" s="47" t="s">
        <v>2166</v>
      </c>
      <c r="D951" s="47" t="s">
        <v>2154</v>
      </c>
      <c r="E951" s="47" t="s">
        <v>1427</v>
      </c>
      <c r="F951" s="47" t="s">
        <v>374</v>
      </c>
      <c r="G951" s="97" t="s">
        <v>748</v>
      </c>
    </row>
    <row r="952" customFormat="false" ht="14.25" hidden="false" customHeight="false" outlineLevel="0" collapsed="false">
      <c r="A952" s="47" t="s">
        <v>147</v>
      </c>
      <c r="B952" s="47" t="n">
        <v>44551</v>
      </c>
      <c r="C952" s="47" t="s">
        <v>2167</v>
      </c>
      <c r="D952" s="47" t="s">
        <v>2168</v>
      </c>
      <c r="E952" s="47" t="s">
        <v>1427</v>
      </c>
      <c r="F952" s="47" t="s">
        <v>374</v>
      </c>
      <c r="G952" s="97" t="s">
        <v>748</v>
      </c>
    </row>
    <row r="953" customFormat="false" ht="14.25" hidden="false" customHeight="false" outlineLevel="0" collapsed="false">
      <c r="A953" s="47" t="s">
        <v>147</v>
      </c>
      <c r="B953" s="47" t="n">
        <v>44551</v>
      </c>
      <c r="C953" s="47" t="s">
        <v>2169</v>
      </c>
      <c r="D953" s="47" t="s">
        <v>2154</v>
      </c>
      <c r="E953" s="47" t="s">
        <v>1427</v>
      </c>
      <c r="F953" s="47" t="s">
        <v>374</v>
      </c>
      <c r="G953" s="97" t="s">
        <v>748</v>
      </c>
    </row>
    <row r="954" customFormat="false" ht="14.25" hidden="false" customHeight="false" outlineLevel="0" collapsed="false">
      <c r="A954" s="47" t="s">
        <v>147</v>
      </c>
      <c r="B954" s="47" t="n">
        <v>44551</v>
      </c>
      <c r="C954" s="47" t="s">
        <v>2170</v>
      </c>
      <c r="D954" s="47" t="s">
        <v>2154</v>
      </c>
      <c r="E954" s="47" t="s">
        <v>1427</v>
      </c>
      <c r="F954" s="47" t="s">
        <v>374</v>
      </c>
      <c r="G954" s="97" t="s">
        <v>748</v>
      </c>
    </row>
    <row r="955" customFormat="false" ht="14.25" hidden="false" customHeight="false" outlineLevel="0" collapsed="false">
      <c r="A955" s="47" t="s">
        <v>147</v>
      </c>
      <c r="B955" s="47" t="n">
        <v>44551</v>
      </c>
      <c r="C955" s="47" t="s">
        <v>2171</v>
      </c>
      <c r="D955" s="47" t="s">
        <v>2172</v>
      </c>
      <c r="E955" s="47" t="s">
        <v>1427</v>
      </c>
      <c r="F955" s="47" t="s">
        <v>374</v>
      </c>
      <c r="G955" s="97" t="s">
        <v>748</v>
      </c>
    </row>
    <row r="956" customFormat="false" ht="14.25" hidden="false" customHeight="false" outlineLevel="0" collapsed="false">
      <c r="A956" s="47" t="s">
        <v>147</v>
      </c>
      <c r="B956" s="47" t="n">
        <v>44551</v>
      </c>
      <c r="C956" s="47" t="s">
        <v>2173</v>
      </c>
      <c r="D956" s="47" t="s">
        <v>2158</v>
      </c>
      <c r="E956" s="47" t="s">
        <v>1427</v>
      </c>
      <c r="F956" s="47" t="s">
        <v>374</v>
      </c>
      <c r="G956" s="97" t="s">
        <v>748</v>
      </c>
    </row>
    <row r="957" customFormat="false" ht="14.25" hidden="false" customHeight="false" outlineLevel="0" collapsed="false">
      <c r="A957" s="47" t="s">
        <v>137</v>
      </c>
      <c r="B957" s="47" t="n">
        <v>5</v>
      </c>
      <c r="C957" s="47" t="s">
        <v>2174</v>
      </c>
      <c r="D957" s="47" t="s">
        <v>984</v>
      </c>
      <c r="E957" s="47" t="s">
        <v>1427</v>
      </c>
      <c r="F957" s="47" t="s">
        <v>374</v>
      </c>
      <c r="G957" s="97" t="s">
        <v>748</v>
      </c>
    </row>
    <row r="958" customFormat="false" ht="14.25" hidden="false" customHeight="false" outlineLevel="0" collapsed="false">
      <c r="A958" s="47" t="s">
        <v>137</v>
      </c>
      <c r="B958" s="47" t="n">
        <v>5</v>
      </c>
      <c r="C958" s="47" t="s">
        <v>2175</v>
      </c>
      <c r="D958" s="47" t="s">
        <v>2176</v>
      </c>
      <c r="E958" s="47" t="s">
        <v>1427</v>
      </c>
      <c r="F958" s="47" t="s">
        <v>374</v>
      </c>
      <c r="G958" s="97" t="s">
        <v>748</v>
      </c>
    </row>
    <row r="959" customFormat="false" ht="14.25" hidden="false" customHeight="false" outlineLevel="0" collapsed="false">
      <c r="A959" s="47" t="s">
        <v>137</v>
      </c>
      <c r="B959" s="47" t="n">
        <v>5</v>
      </c>
      <c r="C959" s="47" t="s">
        <v>2177</v>
      </c>
      <c r="D959" s="47" t="s">
        <v>2178</v>
      </c>
      <c r="E959" s="47" t="s">
        <v>1427</v>
      </c>
      <c r="F959" s="47" t="s">
        <v>374</v>
      </c>
      <c r="G959" s="97" t="s">
        <v>748</v>
      </c>
    </row>
    <row r="960" customFormat="false" ht="14.25" hidden="false" customHeight="false" outlineLevel="0" collapsed="false">
      <c r="A960" s="47" t="s">
        <v>137</v>
      </c>
      <c r="B960" s="47" t="n">
        <v>5</v>
      </c>
      <c r="C960" s="47" t="s">
        <v>2179</v>
      </c>
      <c r="D960" s="47" t="s">
        <v>2180</v>
      </c>
      <c r="E960" s="47" t="s">
        <v>1427</v>
      </c>
      <c r="F960" s="47" t="s">
        <v>374</v>
      </c>
      <c r="G960" s="97" t="s">
        <v>748</v>
      </c>
    </row>
    <row r="961" customFormat="false" ht="14.25" hidden="false" customHeight="false" outlineLevel="0" collapsed="false">
      <c r="A961" s="47" t="s">
        <v>137</v>
      </c>
      <c r="B961" s="47" t="n">
        <v>5</v>
      </c>
      <c r="C961" s="47" t="s">
        <v>2181</v>
      </c>
      <c r="D961" s="47" t="s">
        <v>2182</v>
      </c>
      <c r="E961" s="47" t="s">
        <v>1427</v>
      </c>
      <c r="F961" s="47" t="s">
        <v>374</v>
      </c>
      <c r="G961" s="97" t="s">
        <v>748</v>
      </c>
    </row>
    <row r="962" customFormat="false" ht="14.25" hidden="false" customHeight="false" outlineLevel="0" collapsed="false">
      <c r="A962" s="47" t="s">
        <v>137</v>
      </c>
      <c r="B962" s="47" t="n">
        <v>5</v>
      </c>
      <c r="C962" s="47" t="s">
        <v>140</v>
      </c>
      <c r="D962" s="47" t="s">
        <v>1005</v>
      </c>
      <c r="E962" s="47" t="s">
        <v>1427</v>
      </c>
      <c r="F962" s="47" t="s">
        <v>374</v>
      </c>
      <c r="G962" s="97" t="s">
        <v>748</v>
      </c>
    </row>
    <row r="963" customFormat="false" ht="14.25" hidden="false" customHeight="false" outlineLevel="0" collapsed="false">
      <c r="A963" s="47" t="s">
        <v>137</v>
      </c>
      <c r="B963" s="47" t="n">
        <v>5</v>
      </c>
      <c r="C963" s="47" t="s">
        <v>2183</v>
      </c>
      <c r="D963" s="47" t="s">
        <v>2184</v>
      </c>
      <c r="E963" s="47" t="s">
        <v>1427</v>
      </c>
      <c r="F963" s="47" t="s">
        <v>374</v>
      </c>
      <c r="G963" s="97" t="s">
        <v>748</v>
      </c>
    </row>
    <row r="964" customFormat="false" ht="14.25" hidden="false" customHeight="false" outlineLevel="0" collapsed="false">
      <c r="A964" s="47" t="s">
        <v>137</v>
      </c>
      <c r="B964" s="47" t="n">
        <v>5</v>
      </c>
      <c r="C964" s="47" t="s">
        <v>2185</v>
      </c>
      <c r="D964" s="47" t="s">
        <v>2186</v>
      </c>
      <c r="E964" s="47" t="s">
        <v>1427</v>
      </c>
      <c r="F964" s="47" t="s">
        <v>374</v>
      </c>
      <c r="G964" s="97" t="s">
        <v>748</v>
      </c>
    </row>
    <row r="965" customFormat="false" ht="14.25" hidden="false" customHeight="false" outlineLevel="0" collapsed="false">
      <c r="A965" s="47" t="s">
        <v>137</v>
      </c>
      <c r="B965" s="47" t="n">
        <v>5</v>
      </c>
      <c r="C965" s="47" t="s">
        <v>2187</v>
      </c>
      <c r="D965" s="47" t="s">
        <v>2176</v>
      </c>
      <c r="E965" s="47" t="s">
        <v>1427</v>
      </c>
      <c r="F965" s="47" t="s">
        <v>367</v>
      </c>
      <c r="G965" s="97" t="s">
        <v>368</v>
      </c>
    </row>
    <row r="966" customFormat="false" ht="14.25" hidden="false" customHeight="false" outlineLevel="0" collapsed="false">
      <c r="A966" s="47" t="s">
        <v>137</v>
      </c>
      <c r="B966" s="47" t="n">
        <v>5</v>
      </c>
      <c r="C966" s="47" t="s">
        <v>2188</v>
      </c>
      <c r="D966" s="47" t="s">
        <v>984</v>
      </c>
      <c r="E966" s="47" t="s">
        <v>1427</v>
      </c>
      <c r="F966" s="47" t="s">
        <v>367</v>
      </c>
      <c r="G966" s="97" t="s">
        <v>368</v>
      </c>
    </row>
    <row r="967" customFormat="false" ht="14.25" hidden="false" customHeight="false" outlineLevel="0" collapsed="false">
      <c r="A967" s="47" t="s">
        <v>137</v>
      </c>
      <c r="B967" s="47" t="n">
        <v>5</v>
      </c>
      <c r="C967" s="47" t="s">
        <v>2189</v>
      </c>
      <c r="D967" s="47" t="s">
        <v>2190</v>
      </c>
      <c r="E967" s="47" t="s">
        <v>1427</v>
      </c>
      <c r="F967" s="47" t="s">
        <v>374</v>
      </c>
      <c r="G967" s="97" t="s">
        <v>748</v>
      </c>
    </row>
    <row r="968" customFormat="false" ht="14.25" hidden="false" customHeight="false" outlineLevel="0" collapsed="false">
      <c r="A968" s="47" t="s">
        <v>137</v>
      </c>
      <c r="B968" s="47" t="n">
        <v>5</v>
      </c>
      <c r="C968" s="47" t="s">
        <v>2191</v>
      </c>
      <c r="D968" s="47" t="s">
        <v>2192</v>
      </c>
      <c r="E968" s="47" t="s">
        <v>1427</v>
      </c>
      <c r="F968" s="47" t="s">
        <v>374</v>
      </c>
      <c r="G968" s="97" t="s">
        <v>748</v>
      </c>
    </row>
    <row r="969" customFormat="false" ht="14.25" hidden="false" customHeight="false" outlineLevel="0" collapsed="false">
      <c r="A969" s="47" t="s">
        <v>137</v>
      </c>
      <c r="B969" s="47" t="n">
        <v>5</v>
      </c>
      <c r="C969" s="47" t="s">
        <v>2193</v>
      </c>
      <c r="D969" s="47" t="s">
        <v>2194</v>
      </c>
      <c r="E969" s="47" t="s">
        <v>1427</v>
      </c>
      <c r="F969" s="47" t="s">
        <v>374</v>
      </c>
      <c r="G969" s="97" t="s">
        <v>748</v>
      </c>
    </row>
    <row r="970" customFormat="false" ht="14.25" hidden="false" customHeight="false" outlineLevel="0" collapsed="false">
      <c r="A970" s="47" t="s">
        <v>137</v>
      </c>
      <c r="B970" s="47" t="n">
        <v>5</v>
      </c>
      <c r="C970" s="47" t="s">
        <v>2195</v>
      </c>
      <c r="D970" s="47" t="s">
        <v>2176</v>
      </c>
      <c r="E970" s="47" t="s">
        <v>1427</v>
      </c>
      <c r="F970" s="47" t="s">
        <v>374</v>
      </c>
      <c r="G970" s="97" t="s">
        <v>748</v>
      </c>
    </row>
    <row r="971" customFormat="false" ht="14.25" hidden="false" customHeight="false" outlineLevel="0" collapsed="false">
      <c r="A971" s="47" t="s">
        <v>137</v>
      </c>
      <c r="B971" s="47" t="n">
        <v>5</v>
      </c>
      <c r="C971" s="47" t="s">
        <v>2196</v>
      </c>
      <c r="D971" s="47" t="s">
        <v>2197</v>
      </c>
      <c r="E971" s="47" t="s">
        <v>1427</v>
      </c>
      <c r="F971" s="47" t="s">
        <v>374</v>
      </c>
      <c r="G971" s="97" t="s">
        <v>748</v>
      </c>
    </row>
    <row r="972" customFormat="false" ht="14.25" hidden="false" customHeight="false" outlineLevel="0" collapsed="false">
      <c r="A972" s="47" t="s">
        <v>137</v>
      </c>
      <c r="B972" s="47" t="n">
        <v>5</v>
      </c>
      <c r="C972" s="47" t="s">
        <v>2198</v>
      </c>
      <c r="D972" s="47" t="s">
        <v>2199</v>
      </c>
      <c r="E972" s="47" t="s">
        <v>1427</v>
      </c>
      <c r="F972" s="47" t="s">
        <v>374</v>
      </c>
      <c r="G972" s="97" t="s">
        <v>748</v>
      </c>
    </row>
    <row r="973" customFormat="false" ht="14.25" hidden="false" customHeight="false" outlineLevel="0" collapsed="false">
      <c r="A973" s="47" t="s">
        <v>137</v>
      </c>
      <c r="B973" s="47" t="n">
        <v>5</v>
      </c>
      <c r="C973" s="47" t="s">
        <v>2200</v>
      </c>
      <c r="D973" s="47" t="s">
        <v>2184</v>
      </c>
      <c r="E973" s="47" t="s">
        <v>1427</v>
      </c>
      <c r="F973" s="47" t="s">
        <v>374</v>
      </c>
      <c r="G973" s="97" t="s">
        <v>748</v>
      </c>
    </row>
    <row r="974" customFormat="false" ht="14.25" hidden="false" customHeight="false" outlineLevel="0" collapsed="false">
      <c r="A974" s="47" t="s">
        <v>137</v>
      </c>
      <c r="B974" s="47" t="n">
        <v>5</v>
      </c>
      <c r="C974" s="47" t="s">
        <v>2201</v>
      </c>
      <c r="D974" s="47" t="s">
        <v>2202</v>
      </c>
      <c r="E974" s="47" t="s">
        <v>1427</v>
      </c>
      <c r="F974" s="47" t="s">
        <v>374</v>
      </c>
      <c r="G974" s="97" t="s">
        <v>748</v>
      </c>
    </row>
    <row r="975" customFormat="false" ht="14.25" hidden="false" customHeight="false" outlineLevel="0" collapsed="false">
      <c r="A975" s="47" t="s">
        <v>137</v>
      </c>
      <c r="B975" s="47" t="n">
        <v>5</v>
      </c>
      <c r="C975" s="47" t="s">
        <v>2203</v>
      </c>
      <c r="D975" s="47" t="s">
        <v>2204</v>
      </c>
      <c r="E975" s="47" t="s">
        <v>1427</v>
      </c>
      <c r="F975" s="47" t="s">
        <v>374</v>
      </c>
      <c r="G975" s="97" t="s">
        <v>748</v>
      </c>
    </row>
    <row r="976" customFormat="false" ht="14.25" hidden="false" customHeight="false" outlineLevel="0" collapsed="false">
      <c r="A976" s="47" t="s">
        <v>137</v>
      </c>
      <c r="B976" s="47" t="n">
        <v>5</v>
      </c>
      <c r="C976" s="47" t="s">
        <v>2205</v>
      </c>
      <c r="D976" s="47" t="s">
        <v>2206</v>
      </c>
      <c r="E976" s="47" t="s">
        <v>1427</v>
      </c>
      <c r="F976" s="47" t="s">
        <v>374</v>
      </c>
      <c r="G976" s="97" t="s">
        <v>748</v>
      </c>
    </row>
    <row r="977" customFormat="false" ht="14.25" hidden="false" customHeight="false" outlineLevel="0" collapsed="false">
      <c r="A977" s="47" t="s">
        <v>1138</v>
      </c>
      <c r="B977" s="47" t="n">
        <v>44571</v>
      </c>
      <c r="C977" s="47" t="s">
        <v>2207</v>
      </c>
      <c r="D977" s="47" t="s">
        <v>2208</v>
      </c>
      <c r="E977" s="47" t="s">
        <v>1427</v>
      </c>
      <c r="F977" s="47" t="s">
        <v>374</v>
      </c>
      <c r="G977" s="97" t="s">
        <v>368</v>
      </c>
    </row>
    <row r="978" customFormat="false" ht="14.25" hidden="false" customHeight="false" outlineLevel="0" collapsed="false">
      <c r="A978" s="47" t="s">
        <v>1138</v>
      </c>
      <c r="B978" s="47" t="n">
        <v>44571</v>
      </c>
      <c r="C978" s="47" t="s">
        <v>2209</v>
      </c>
      <c r="D978" s="47" t="s">
        <v>2210</v>
      </c>
      <c r="E978" s="47" t="s">
        <v>1427</v>
      </c>
      <c r="F978" s="47" t="s">
        <v>374</v>
      </c>
      <c r="G978" s="97" t="s">
        <v>368</v>
      </c>
    </row>
    <row r="979" customFormat="false" ht="14.25" hidden="false" customHeight="false" outlineLevel="0" collapsed="false">
      <c r="A979" s="47" t="s">
        <v>252</v>
      </c>
      <c r="B979" s="47" t="n">
        <v>35691</v>
      </c>
      <c r="C979" s="47" t="s">
        <v>2211</v>
      </c>
      <c r="D979" s="47" t="s">
        <v>2212</v>
      </c>
      <c r="E979" s="47" t="s">
        <v>1427</v>
      </c>
      <c r="F979" s="47" t="s">
        <v>374</v>
      </c>
      <c r="G979" s="97" t="s">
        <v>748</v>
      </c>
    </row>
    <row r="980" customFormat="false" ht="14.25" hidden="false" customHeight="false" outlineLevel="0" collapsed="false">
      <c r="A980" s="47" t="s">
        <v>252</v>
      </c>
      <c r="B980" s="47" t="n">
        <v>35691</v>
      </c>
      <c r="C980" s="47" t="s">
        <v>2213</v>
      </c>
      <c r="D980" s="47" t="s">
        <v>2214</v>
      </c>
      <c r="E980" s="47" t="s">
        <v>1427</v>
      </c>
      <c r="F980" s="47" t="s">
        <v>374</v>
      </c>
      <c r="G980" s="97" t="s">
        <v>748</v>
      </c>
    </row>
    <row r="981" customFormat="false" ht="14.25" hidden="false" customHeight="false" outlineLevel="0" collapsed="false">
      <c r="A981" s="47" t="s">
        <v>252</v>
      </c>
      <c r="B981" s="47" t="n">
        <v>35691</v>
      </c>
      <c r="C981" s="47" t="s">
        <v>2215</v>
      </c>
      <c r="D981" s="47" t="s">
        <v>2216</v>
      </c>
      <c r="E981" s="47" t="s">
        <v>1427</v>
      </c>
      <c r="F981" s="47" t="s">
        <v>374</v>
      </c>
      <c r="G981" s="97" t="s">
        <v>748</v>
      </c>
    </row>
    <row r="982" customFormat="false" ht="14.25" hidden="false" customHeight="false" outlineLevel="0" collapsed="false">
      <c r="A982" s="47" t="s">
        <v>252</v>
      </c>
      <c r="B982" s="47" t="n">
        <v>35691</v>
      </c>
      <c r="C982" s="47" t="s">
        <v>2217</v>
      </c>
      <c r="D982" s="47" t="s">
        <v>2218</v>
      </c>
      <c r="E982" s="47" t="s">
        <v>1427</v>
      </c>
      <c r="F982" s="47" t="s">
        <v>374</v>
      </c>
      <c r="G982" s="97" t="s">
        <v>748</v>
      </c>
    </row>
    <row r="983" customFormat="false" ht="14.25" hidden="false" customHeight="false" outlineLevel="0" collapsed="false">
      <c r="A983" s="47" t="s">
        <v>252</v>
      </c>
      <c r="B983" s="47" t="n">
        <v>35691</v>
      </c>
      <c r="C983" s="47" t="s">
        <v>2219</v>
      </c>
      <c r="D983" s="47" t="s">
        <v>2220</v>
      </c>
      <c r="E983" s="47" t="s">
        <v>1427</v>
      </c>
      <c r="F983" s="47" t="s">
        <v>374</v>
      </c>
      <c r="G983" s="97" t="s">
        <v>748</v>
      </c>
    </row>
    <row r="984" customFormat="false" ht="14.25" hidden="false" customHeight="false" outlineLevel="0" collapsed="false">
      <c r="A984" s="47" t="s">
        <v>252</v>
      </c>
      <c r="B984" s="47" t="n">
        <v>35691</v>
      </c>
      <c r="C984" s="47" t="s">
        <v>2221</v>
      </c>
      <c r="D984" s="47" t="s">
        <v>2222</v>
      </c>
      <c r="E984" s="47" t="s">
        <v>1427</v>
      </c>
      <c r="F984" s="47" t="s">
        <v>374</v>
      </c>
      <c r="G984" s="97" t="s">
        <v>748</v>
      </c>
    </row>
    <row r="985" customFormat="false" ht="14.25" hidden="false" customHeight="false" outlineLevel="0" collapsed="false">
      <c r="A985" s="47" t="s">
        <v>252</v>
      </c>
      <c r="B985" s="47" t="n">
        <v>35691</v>
      </c>
      <c r="C985" s="47" t="s">
        <v>2223</v>
      </c>
      <c r="D985" s="47" t="s">
        <v>2224</v>
      </c>
      <c r="E985" s="47" t="s">
        <v>1427</v>
      </c>
      <c r="F985" s="47" t="s">
        <v>374</v>
      </c>
      <c r="G985" s="97" t="s">
        <v>748</v>
      </c>
    </row>
    <row r="986" customFormat="false" ht="14.25" hidden="false" customHeight="false" outlineLevel="0" collapsed="false">
      <c r="A986" s="47" t="s">
        <v>252</v>
      </c>
      <c r="B986" s="47" t="n">
        <v>35691</v>
      </c>
      <c r="C986" s="47" t="s">
        <v>2225</v>
      </c>
      <c r="D986" s="47" t="s">
        <v>2226</v>
      </c>
      <c r="E986" s="47" t="s">
        <v>1427</v>
      </c>
      <c r="F986" s="47" t="s">
        <v>374</v>
      </c>
      <c r="G986" s="97" t="s">
        <v>748</v>
      </c>
    </row>
    <row r="987" customFormat="false" ht="14.25" hidden="false" customHeight="false" outlineLevel="0" collapsed="false">
      <c r="A987" s="47" t="s">
        <v>252</v>
      </c>
      <c r="B987" s="47" t="n">
        <v>35691</v>
      </c>
      <c r="C987" s="47" t="s">
        <v>2227</v>
      </c>
      <c r="D987" s="47" t="s">
        <v>2228</v>
      </c>
      <c r="E987" s="47" t="s">
        <v>1427</v>
      </c>
      <c r="F987" s="47" t="s">
        <v>374</v>
      </c>
      <c r="G987" s="97" t="s">
        <v>748</v>
      </c>
    </row>
    <row r="988" customFormat="false" ht="14.25" hidden="false" customHeight="false" outlineLevel="0" collapsed="false">
      <c r="A988" s="47" t="s">
        <v>252</v>
      </c>
      <c r="B988" s="47" t="n">
        <v>35691</v>
      </c>
      <c r="C988" s="47" t="s">
        <v>2229</v>
      </c>
      <c r="D988" s="47" t="s">
        <v>2228</v>
      </c>
      <c r="E988" s="47" t="s">
        <v>1427</v>
      </c>
      <c r="F988" s="47" t="s">
        <v>374</v>
      </c>
      <c r="G988" s="97" t="s">
        <v>748</v>
      </c>
    </row>
    <row r="989" customFormat="false" ht="14.25" hidden="false" customHeight="false" outlineLevel="0" collapsed="false">
      <c r="A989" s="47" t="s">
        <v>252</v>
      </c>
      <c r="B989" s="47" t="n">
        <v>35691</v>
      </c>
      <c r="C989" s="47" t="s">
        <v>2230</v>
      </c>
      <c r="D989" s="47" t="s">
        <v>2231</v>
      </c>
      <c r="E989" s="47" t="s">
        <v>1427</v>
      </c>
      <c r="F989" s="47" t="s">
        <v>374</v>
      </c>
      <c r="G989" s="97" t="s">
        <v>748</v>
      </c>
    </row>
    <row r="990" customFormat="false" ht="14.25" hidden="false" customHeight="false" outlineLevel="0" collapsed="false">
      <c r="A990" s="47" t="s">
        <v>252</v>
      </c>
      <c r="B990" s="47" t="n">
        <v>35691</v>
      </c>
      <c r="C990" s="47" t="s">
        <v>253</v>
      </c>
      <c r="D990" s="47" t="s">
        <v>2232</v>
      </c>
      <c r="E990" s="47" t="s">
        <v>1427</v>
      </c>
      <c r="F990" s="47" t="s">
        <v>374</v>
      </c>
      <c r="G990" s="97" t="s">
        <v>748</v>
      </c>
    </row>
    <row r="991" customFormat="false" ht="14.25" hidden="false" customHeight="false" outlineLevel="0" collapsed="false">
      <c r="A991" s="47" t="s">
        <v>230</v>
      </c>
      <c r="B991" s="47" t="n">
        <v>6</v>
      </c>
      <c r="C991" s="47" t="s">
        <v>2233</v>
      </c>
      <c r="D991" s="47" t="s">
        <v>1308</v>
      </c>
      <c r="E991" s="47" t="s">
        <v>1427</v>
      </c>
      <c r="F991" s="47" t="s">
        <v>374</v>
      </c>
      <c r="G991" s="97" t="s">
        <v>748</v>
      </c>
    </row>
    <row r="992" customFormat="false" ht="14.25" hidden="false" customHeight="false" outlineLevel="0" collapsed="false">
      <c r="A992" s="47" t="s">
        <v>230</v>
      </c>
      <c r="B992" s="47" t="n">
        <v>6</v>
      </c>
      <c r="C992" s="47" t="s">
        <v>2234</v>
      </c>
      <c r="D992" s="47" t="s">
        <v>2235</v>
      </c>
      <c r="E992" s="47" t="s">
        <v>1427</v>
      </c>
      <c r="F992" s="47" t="s">
        <v>374</v>
      </c>
      <c r="G992" s="97" t="s">
        <v>748</v>
      </c>
    </row>
    <row r="993" customFormat="false" ht="14.25" hidden="false" customHeight="false" outlineLevel="0" collapsed="false">
      <c r="A993" s="47" t="s">
        <v>230</v>
      </c>
      <c r="B993" s="47" t="n">
        <v>6</v>
      </c>
      <c r="C993" s="47" t="s">
        <v>231</v>
      </c>
      <c r="D993" s="47" t="s">
        <v>2236</v>
      </c>
      <c r="E993" s="47" t="s">
        <v>1427</v>
      </c>
      <c r="F993" s="47" t="s">
        <v>374</v>
      </c>
      <c r="G993" s="97" t="s">
        <v>748</v>
      </c>
    </row>
    <row r="994" customFormat="false" ht="14.25" hidden="false" customHeight="false" outlineLevel="0" collapsed="false">
      <c r="A994" s="47" t="s">
        <v>230</v>
      </c>
      <c r="B994" s="47" t="n">
        <v>6</v>
      </c>
      <c r="C994" s="47" t="s">
        <v>2237</v>
      </c>
      <c r="D994" s="47" t="s">
        <v>2238</v>
      </c>
      <c r="E994" s="47" t="s">
        <v>1427</v>
      </c>
      <c r="F994" s="47" t="s">
        <v>374</v>
      </c>
      <c r="G994" s="97" t="s">
        <v>748</v>
      </c>
    </row>
    <row r="995" customFormat="false" ht="14.25" hidden="false" customHeight="false" outlineLevel="0" collapsed="false">
      <c r="A995" s="47" t="s">
        <v>230</v>
      </c>
      <c r="B995" s="47" t="n">
        <v>6</v>
      </c>
      <c r="C995" s="47" t="s">
        <v>2239</v>
      </c>
      <c r="D995" s="47" t="s">
        <v>2240</v>
      </c>
      <c r="E995" s="47" t="s">
        <v>1427</v>
      </c>
      <c r="F995" s="47" t="s">
        <v>374</v>
      </c>
      <c r="G995" s="97" t="s">
        <v>368</v>
      </c>
    </row>
    <row r="996" customFormat="false" ht="14.25" hidden="false" customHeight="false" outlineLevel="0" collapsed="false">
      <c r="A996" s="47" t="s">
        <v>230</v>
      </c>
      <c r="B996" s="47" t="n">
        <v>6</v>
      </c>
      <c r="C996" s="47" t="s">
        <v>2241</v>
      </c>
      <c r="D996" s="47" t="s">
        <v>2242</v>
      </c>
      <c r="E996" s="47" t="s">
        <v>1427</v>
      </c>
      <c r="F996" s="47" t="s">
        <v>367</v>
      </c>
      <c r="G996" s="97" t="s">
        <v>368</v>
      </c>
    </row>
    <row r="997" customFormat="false" ht="14.25" hidden="false" customHeight="false" outlineLevel="0" collapsed="false">
      <c r="A997" s="47" t="s">
        <v>1328</v>
      </c>
      <c r="B997" s="47" t="n">
        <v>771770</v>
      </c>
      <c r="C997" s="47" t="s">
        <v>2243</v>
      </c>
      <c r="D997" s="47" t="s">
        <v>2244</v>
      </c>
      <c r="E997" s="47" t="s">
        <v>1427</v>
      </c>
      <c r="F997" s="47" t="s">
        <v>374</v>
      </c>
      <c r="G997" s="97" t="s">
        <v>748</v>
      </c>
    </row>
    <row r="998" customFormat="false" ht="14.25" hidden="false" customHeight="false" outlineLevel="0" collapsed="false">
      <c r="A998" s="47" t="s">
        <v>1328</v>
      </c>
      <c r="B998" s="47" t="n">
        <v>771770</v>
      </c>
      <c r="C998" s="47" t="s">
        <v>2245</v>
      </c>
      <c r="D998" s="47" t="s">
        <v>2246</v>
      </c>
      <c r="E998" s="47" t="s">
        <v>1427</v>
      </c>
      <c r="F998" s="47" t="s">
        <v>374</v>
      </c>
      <c r="G998" s="97" t="s">
        <v>748</v>
      </c>
    </row>
    <row r="999" customFormat="false" ht="14.25" hidden="false" customHeight="false" outlineLevel="0" collapsed="false">
      <c r="A999" s="47" t="s">
        <v>1328</v>
      </c>
      <c r="B999" s="47" t="n">
        <v>771770</v>
      </c>
      <c r="C999" s="47" t="s">
        <v>2247</v>
      </c>
      <c r="D999" s="47" t="s">
        <v>2248</v>
      </c>
      <c r="E999" s="47" t="s">
        <v>1427</v>
      </c>
      <c r="F999" s="47" t="s">
        <v>374</v>
      </c>
      <c r="G999" s="97" t="s">
        <v>748</v>
      </c>
    </row>
    <row r="1000" customFormat="false" ht="14.25" hidden="false" customHeight="false" outlineLevel="0" collapsed="false">
      <c r="A1000" s="47" t="s">
        <v>1328</v>
      </c>
      <c r="B1000" s="47" t="n">
        <v>771770</v>
      </c>
      <c r="C1000" s="47" t="s">
        <v>2249</v>
      </c>
      <c r="D1000" s="47" t="s">
        <v>2250</v>
      </c>
      <c r="E1000" s="47" t="s">
        <v>1427</v>
      </c>
      <c r="F1000" s="47" t="s">
        <v>374</v>
      </c>
      <c r="G1000" s="97" t="s">
        <v>748</v>
      </c>
    </row>
    <row r="1001" customFormat="false" ht="14.25" hidden="false" customHeight="false" outlineLevel="0" collapsed="false">
      <c r="A1001" s="47" t="s">
        <v>1328</v>
      </c>
      <c r="B1001" s="47" t="n">
        <v>771770</v>
      </c>
      <c r="C1001" s="47" t="s">
        <v>2251</v>
      </c>
      <c r="D1001" s="47" t="s">
        <v>2252</v>
      </c>
      <c r="E1001" s="47" t="s">
        <v>1427</v>
      </c>
      <c r="F1001" s="47" t="s">
        <v>374</v>
      </c>
      <c r="G1001" s="97" t="s">
        <v>748</v>
      </c>
    </row>
    <row r="1002" customFormat="false" ht="14.25" hidden="false" customHeight="false" outlineLevel="0" collapsed="false">
      <c r="A1002" s="47" t="s">
        <v>1328</v>
      </c>
      <c r="B1002" s="47" t="n">
        <v>771770</v>
      </c>
      <c r="C1002" s="47" t="s">
        <v>2253</v>
      </c>
      <c r="D1002" s="47" t="s">
        <v>2254</v>
      </c>
      <c r="E1002" s="47" t="s">
        <v>1427</v>
      </c>
      <c r="F1002" s="47" t="s">
        <v>374</v>
      </c>
      <c r="G1002" s="97" t="s">
        <v>748</v>
      </c>
    </row>
    <row r="1003" customFormat="false" ht="14.25" hidden="false" customHeight="false" outlineLevel="0" collapsed="false">
      <c r="A1003" s="47" t="s">
        <v>1328</v>
      </c>
      <c r="B1003" s="47" t="n">
        <v>771770</v>
      </c>
      <c r="C1003" s="47" t="s">
        <v>2255</v>
      </c>
      <c r="D1003" s="47" t="s">
        <v>2256</v>
      </c>
      <c r="E1003" s="47" t="s">
        <v>1427</v>
      </c>
      <c r="F1003" s="47" t="s">
        <v>374</v>
      </c>
      <c r="G1003" s="97" t="s">
        <v>748</v>
      </c>
    </row>
    <row r="1004" customFormat="false" ht="14.25" hidden="false" customHeight="false" outlineLevel="0" collapsed="false">
      <c r="A1004" s="47" t="s">
        <v>1328</v>
      </c>
      <c r="B1004" s="47" t="n">
        <v>771770</v>
      </c>
      <c r="C1004" s="47" t="s">
        <v>2257</v>
      </c>
      <c r="D1004" s="47" t="s">
        <v>2258</v>
      </c>
      <c r="E1004" s="47" t="s">
        <v>1427</v>
      </c>
      <c r="F1004" s="47" t="s">
        <v>374</v>
      </c>
      <c r="G1004" s="97" t="s">
        <v>748</v>
      </c>
    </row>
    <row r="1005" customFormat="false" ht="14.25" hidden="false" customHeight="false" outlineLevel="0" collapsed="false">
      <c r="A1005" s="47" t="s">
        <v>1328</v>
      </c>
      <c r="B1005" s="47" t="n">
        <v>771770</v>
      </c>
      <c r="C1005" s="47" t="s">
        <v>2259</v>
      </c>
      <c r="D1005" s="47" t="s">
        <v>2260</v>
      </c>
      <c r="E1005" s="47" t="s">
        <v>1427</v>
      </c>
      <c r="F1005" s="47" t="s">
        <v>374</v>
      </c>
      <c r="G1005" s="97" t="s">
        <v>748</v>
      </c>
    </row>
    <row r="1006" customFormat="false" ht="14.25" hidden="false" customHeight="false" outlineLevel="0" collapsed="false">
      <c r="A1006" s="47" t="s">
        <v>1402</v>
      </c>
      <c r="B1006" s="47" t="n">
        <v>328451</v>
      </c>
      <c r="C1006" s="47" t="s">
        <v>2261</v>
      </c>
      <c r="D1006" s="47" t="s">
        <v>2262</v>
      </c>
      <c r="E1006" s="47" t="s">
        <v>1427</v>
      </c>
      <c r="F1006" s="47" t="s">
        <v>374</v>
      </c>
      <c r="G1006" s="97" t="s">
        <v>748</v>
      </c>
    </row>
    <row r="1007" customFormat="false" ht="14.25" hidden="false" customHeight="false" outlineLevel="0" collapsed="false">
      <c r="A1007" s="47" t="s">
        <v>1402</v>
      </c>
      <c r="B1007" s="47" t="n">
        <v>328451</v>
      </c>
      <c r="C1007" s="47" t="s">
        <v>2263</v>
      </c>
      <c r="D1007" s="47" t="s">
        <v>2264</v>
      </c>
      <c r="E1007" s="47" t="s">
        <v>1427</v>
      </c>
      <c r="F1007" s="47" t="s">
        <v>374</v>
      </c>
      <c r="G1007" s="97" t="s">
        <v>748</v>
      </c>
    </row>
    <row r="1008" customFormat="false" ht="14.25" hidden="false" customHeight="false" outlineLevel="0" collapsed="false">
      <c r="A1008" s="47" t="s">
        <v>1402</v>
      </c>
      <c r="B1008" s="47" t="n">
        <v>328451</v>
      </c>
      <c r="C1008" s="47" t="s">
        <v>2265</v>
      </c>
      <c r="D1008" s="47" t="s">
        <v>2266</v>
      </c>
      <c r="E1008" s="47" t="s">
        <v>1427</v>
      </c>
      <c r="F1008" s="47" t="s">
        <v>374</v>
      </c>
      <c r="G1008" s="97" t="s">
        <v>748</v>
      </c>
    </row>
    <row r="1009" customFormat="false" ht="14.25" hidden="false" customHeight="false" outlineLevel="0" collapsed="false">
      <c r="A1009" s="47" t="s">
        <v>1402</v>
      </c>
      <c r="B1009" s="47" t="n">
        <v>328451</v>
      </c>
      <c r="C1009" s="47" t="s">
        <v>2267</v>
      </c>
      <c r="D1009" s="47" t="s">
        <v>2268</v>
      </c>
      <c r="E1009" s="47" t="s">
        <v>1427</v>
      </c>
      <c r="F1009" s="47" t="s">
        <v>374</v>
      </c>
      <c r="G1009" s="97" t="s">
        <v>748</v>
      </c>
    </row>
    <row r="1010" customFormat="false" ht="14.25" hidden="false" customHeight="false" outlineLevel="0" collapsed="false">
      <c r="A1010" s="47" t="s">
        <v>1402</v>
      </c>
      <c r="B1010" s="47" t="n">
        <v>328451</v>
      </c>
      <c r="C1010" s="47" t="s">
        <v>2269</v>
      </c>
      <c r="D1010" s="47" t="s">
        <v>2264</v>
      </c>
      <c r="E1010" s="47" t="s">
        <v>1427</v>
      </c>
      <c r="F1010" s="47" t="s">
        <v>374</v>
      </c>
      <c r="G1010" s="97" t="s">
        <v>748</v>
      </c>
    </row>
    <row r="1011" customFormat="false" ht="14.25" hidden="false" customHeight="false" outlineLevel="0" collapsed="false">
      <c r="A1011" s="98" t="s">
        <v>96</v>
      </c>
      <c r="B1011" s="98" t="n">
        <v>712115121</v>
      </c>
      <c r="C1011" s="98" t="s">
        <v>81</v>
      </c>
      <c r="D1011" s="98" t="s">
        <v>2270</v>
      </c>
      <c r="E1011" s="98" t="s">
        <v>8</v>
      </c>
      <c r="F1011" s="98" t="s">
        <v>374</v>
      </c>
      <c r="G1011" s="97" t="s">
        <v>371</v>
      </c>
    </row>
    <row r="1012" customFormat="false" ht="14.25" hidden="false" customHeight="false" outlineLevel="0" collapsed="false">
      <c r="A1012" s="98" t="s">
        <v>96</v>
      </c>
      <c r="B1012" s="98" t="n">
        <v>712115121</v>
      </c>
      <c r="C1012" s="98" t="s">
        <v>2271</v>
      </c>
      <c r="D1012" s="98" t="s">
        <v>2272</v>
      </c>
      <c r="E1012" s="98" t="s">
        <v>8</v>
      </c>
      <c r="F1012" s="98" t="s">
        <v>367</v>
      </c>
      <c r="G1012" s="97" t="s">
        <v>368</v>
      </c>
    </row>
    <row r="1013" customFormat="false" ht="14.25" hidden="false" customHeight="false" outlineLevel="0" collapsed="false">
      <c r="A1013" s="98" t="s">
        <v>96</v>
      </c>
      <c r="B1013" s="98" t="n">
        <v>712115121</v>
      </c>
      <c r="C1013" s="98" t="s">
        <v>2273</v>
      </c>
      <c r="D1013" s="98" t="s">
        <v>2274</v>
      </c>
      <c r="E1013" s="98" t="s">
        <v>8</v>
      </c>
      <c r="F1013" s="98" t="s">
        <v>374</v>
      </c>
      <c r="G1013" s="97" t="s">
        <v>371</v>
      </c>
    </row>
    <row r="1014" customFormat="false" ht="14.25" hidden="false" customHeight="false" outlineLevel="0" collapsed="false">
      <c r="A1014" s="98" t="s">
        <v>96</v>
      </c>
      <c r="B1014" s="98" t="n">
        <v>712115121</v>
      </c>
      <c r="C1014" s="98" t="s">
        <v>282</v>
      </c>
      <c r="D1014" s="98" t="s">
        <v>2275</v>
      </c>
      <c r="E1014" s="98" t="s">
        <v>1427</v>
      </c>
      <c r="F1014" s="98" t="s">
        <v>374</v>
      </c>
      <c r="G1014" s="97" t="s">
        <v>748</v>
      </c>
    </row>
    <row r="1015" customFormat="false" ht="14.25" hidden="false" customHeight="false" outlineLevel="0" collapsed="false">
      <c r="A1015" s="98" t="s">
        <v>96</v>
      </c>
      <c r="B1015" s="98" t="n">
        <v>712115121</v>
      </c>
      <c r="C1015" s="98" t="s">
        <v>82</v>
      </c>
      <c r="D1015" s="98" t="s">
        <v>2276</v>
      </c>
      <c r="E1015" s="98" t="s">
        <v>8</v>
      </c>
      <c r="F1015" s="98" t="s">
        <v>374</v>
      </c>
      <c r="G1015" s="97" t="s">
        <v>371</v>
      </c>
    </row>
    <row r="1016" customFormat="false" ht="14.25" hidden="false" customHeight="false" outlineLevel="0" collapsed="false">
      <c r="A1016" s="98" t="s">
        <v>96</v>
      </c>
      <c r="B1016" s="98" t="n">
        <v>712115121</v>
      </c>
      <c r="C1016" s="98" t="s">
        <v>2277</v>
      </c>
      <c r="D1016" s="98" t="s">
        <v>2278</v>
      </c>
      <c r="E1016" s="98" t="s">
        <v>1427</v>
      </c>
      <c r="F1016" s="98" t="s">
        <v>374</v>
      </c>
      <c r="G1016" s="97" t="s">
        <v>748</v>
      </c>
    </row>
    <row r="1017" customFormat="false" ht="14.25" hidden="false" customHeight="false" outlineLevel="0" collapsed="false">
      <c r="A1017" s="47" t="s">
        <v>1443</v>
      </c>
      <c r="B1017" s="47" t="n">
        <v>338811</v>
      </c>
      <c r="C1017" s="47" t="s">
        <v>2279</v>
      </c>
      <c r="D1017" s="47" t="s">
        <v>2280</v>
      </c>
      <c r="E1017" s="47" t="s">
        <v>1427</v>
      </c>
      <c r="F1017" s="47" t="s">
        <v>374</v>
      </c>
      <c r="G1017" s="97" t="s">
        <v>368</v>
      </c>
    </row>
    <row r="1018" customFormat="false" ht="14.25" hidden="false" customHeight="false" outlineLevel="0" collapsed="false">
      <c r="A1018" s="47" t="s">
        <v>1443</v>
      </c>
      <c r="B1018" s="47" t="n">
        <v>338811</v>
      </c>
      <c r="C1018" s="47" t="s">
        <v>2281</v>
      </c>
      <c r="D1018" s="47" t="s">
        <v>2282</v>
      </c>
      <c r="E1018" s="47" t="s">
        <v>1427</v>
      </c>
      <c r="F1018" s="47" t="s">
        <v>374</v>
      </c>
      <c r="G1018" s="97" t="s">
        <v>368</v>
      </c>
    </row>
    <row r="1019" customFormat="false" ht="14.25" hidden="false" customHeight="false" outlineLevel="0" collapsed="false">
      <c r="A1019" s="47" t="s">
        <v>1443</v>
      </c>
      <c r="B1019" s="47" t="n">
        <v>338811</v>
      </c>
      <c r="C1019" s="47" t="s">
        <v>2283</v>
      </c>
      <c r="D1019" s="47" t="s">
        <v>2284</v>
      </c>
      <c r="E1019" s="47" t="s">
        <v>1427</v>
      </c>
      <c r="F1019" s="47" t="s">
        <v>374</v>
      </c>
      <c r="G1019" s="97" t="s">
        <v>368</v>
      </c>
    </row>
    <row r="1020" customFormat="false" ht="14.25" hidden="false" customHeight="false" outlineLevel="0" collapsed="false">
      <c r="A1020" s="47" t="s">
        <v>1443</v>
      </c>
      <c r="B1020" s="47" t="n">
        <v>338811</v>
      </c>
      <c r="C1020" s="47" t="s">
        <v>2285</v>
      </c>
      <c r="D1020" s="47" t="s">
        <v>2286</v>
      </c>
      <c r="E1020" s="47" t="s">
        <v>1427</v>
      </c>
      <c r="F1020" s="47" t="s">
        <v>374</v>
      </c>
      <c r="G1020" s="97" t="s">
        <v>368</v>
      </c>
    </row>
    <row r="1021" customFormat="false" ht="14.25" hidden="false" customHeight="false" outlineLevel="0" collapsed="false">
      <c r="A1021" s="47" t="s">
        <v>1443</v>
      </c>
      <c r="B1021" s="47" t="n">
        <v>338811</v>
      </c>
      <c r="C1021" s="47" t="s">
        <v>2287</v>
      </c>
      <c r="D1021" s="47" t="s">
        <v>2288</v>
      </c>
      <c r="E1021" s="47" t="s">
        <v>1427</v>
      </c>
      <c r="F1021" s="47" t="s">
        <v>374</v>
      </c>
      <c r="G1021" s="97" t="s">
        <v>368</v>
      </c>
    </row>
    <row r="1022" customFormat="false" ht="14.25" hidden="false" customHeight="false" outlineLevel="0" collapsed="false">
      <c r="A1022" s="98" t="s">
        <v>1466</v>
      </c>
      <c r="B1022" s="98" t="n">
        <v>704403121</v>
      </c>
      <c r="C1022" s="98" t="s">
        <v>71</v>
      </c>
      <c r="D1022" s="98" t="s">
        <v>2289</v>
      </c>
      <c r="E1022" s="98" t="s">
        <v>1427</v>
      </c>
      <c r="F1022" s="98" t="s">
        <v>374</v>
      </c>
      <c r="G1022" s="97" t="s">
        <v>748</v>
      </c>
    </row>
    <row r="1023" customFormat="false" ht="14.25" hidden="false" customHeight="false" outlineLevel="0" collapsed="false">
      <c r="A1023" s="98" t="s">
        <v>1466</v>
      </c>
      <c r="B1023" s="98" t="n">
        <v>704403121</v>
      </c>
      <c r="C1023" s="98" t="s">
        <v>2290</v>
      </c>
      <c r="D1023" s="98" t="s">
        <v>2291</v>
      </c>
      <c r="E1023" s="98" t="s">
        <v>1427</v>
      </c>
      <c r="F1023" s="98" t="s">
        <v>374</v>
      </c>
      <c r="G1023" s="97" t="s">
        <v>748</v>
      </c>
    </row>
    <row r="1024" customFormat="false" ht="14.25" hidden="false" customHeight="false" outlineLevel="0" collapsed="false">
      <c r="A1024" s="47" t="s">
        <v>49</v>
      </c>
      <c r="B1024" s="47" t="n">
        <v>104444012</v>
      </c>
      <c r="C1024" s="47" t="s">
        <v>2292</v>
      </c>
      <c r="D1024" s="47" t="s">
        <v>2293</v>
      </c>
      <c r="E1024" s="47" t="s">
        <v>1427</v>
      </c>
      <c r="F1024" s="47" t="s">
        <v>374</v>
      </c>
      <c r="G1024" s="97" t="s">
        <v>748</v>
      </c>
    </row>
    <row r="1025" customFormat="false" ht="14.25" hidden="false" customHeight="false" outlineLevel="0" collapsed="false">
      <c r="A1025" s="47" t="s">
        <v>49</v>
      </c>
      <c r="B1025" s="47" t="n">
        <v>104444012</v>
      </c>
      <c r="C1025" s="47" t="s">
        <v>2294</v>
      </c>
      <c r="D1025" s="47" t="s">
        <v>2295</v>
      </c>
      <c r="E1025" s="47" t="s">
        <v>1427</v>
      </c>
      <c r="F1025" s="47" t="s">
        <v>374</v>
      </c>
      <c r="G1025" s="97" t="s">
        <v>748</v>
      </c>
    </row>
    <row r="1026" customFormat="false" ht="14.25" hidden="false" customHeight="false" outlineLevel="0" collapsed="false">
      <c r="A1026" s="47" t="s">
        <v>127</v>
      </c>
      <c r="B1026" s="47" t="n">
        <v>338851</v>
      </c>
      <c r="C1026" s="47" t="s">
        <v>2296</v>
      </c>
      <c r="D1026" s="47" t="s">
        <v>2297</v>
      </c>
      <c r="E1026" s="47" t="s">
        <v>1427</v>
      </c>
      <c r="F1026" s="47" t="s">
        <v>374</v>
      </c>
      <c r="G1026" s="97" t="s">
        <v>748</v>
      </c>
    </row>
    <row r="1027" customFormat="false" ht="14.25" hidden="false" customHeight="false" outlineLevel="0" collapsed="false">
      <c r="A1027" s="47" t="s">
        <v>127</v>
      </c>
      <c r="B1027" s="47" t="n">
        <v>338851</v>
      </c>
      <c r="C1027" s="47" t="s">
        <v>2298</v>
      </c>
      <c r="D1027" s="47" t="s">
        <v>2299</v>
      </c>
      <c r="E1027" s="47" t="s">
        <v>1427</v>
      </c>
      <c r="F1027" s="47" t="s">
        <v>374</v>
      </c>
      <c r="G1027" s="97" t="s">
        <v>748</v>
      </c>
    </row>
    <row r="1028" customFormat="false" ht="14.25" hidden="false" customHeight="false" outlineLevel="0" collapsed="false">
      <c r="A1028" s="47" t="s">
        <v>127</v>
      </c>
      <c r="B1028" s="47" t="n">
        <v>338851</v>
      </c>
      <c r="C1028" s="47" t="s">
        <v>2300</v>
      </c>
      <c r="D1028" s="47" t="s">
        <v>2301</v>
      </c>
      <c r="E1028" s="47" t="s">
        <v>1427</v>
      </c>
      <c r="F1028" s="47" t="s">
        <v>374</v>
      </c>
      <c r="G1028" s="97" t="s">
        <v>748</v>
      </c>
    </row>
    <row r="1029" customFormat="false" ht="14.25" hidden="false" customHeight="false" outlineLevel="0" collapsed="false">
      <c r="A1029" s="47" t="s">
        <v>127</v>
      </c>
      <c r="B1029" s="47" t="n">
        <v>338851</v>
      </c>
      <c r="C1029" s="47" t="s">
        <v>78</v>
      </c>
      <c r="D1029" s="47" t="s">
        <v>2302</v>
      </c>
      <c r="E1029" s="47" t="s">
        <v>1427</v>
      </c>
      <c r="F1029" s="47" t="s">
        <v>374</v>
      </c>
      <c r="G1029" s="97" t="s">
        <v>748</v>
      </c>
    </row>
    <row r="1030" customFormat="false" ht="14.25" hidden="false" customHeight="false" outlineLevel="0" collapsed="false">
      <c r="A1030" s="47" t="s">
        <v>127</v>
      </c>
      <c r="B1030" s="47" t="n">
        <v>338851</v>
      </c>
      <c r="C1030" s="47" t="s">
        <v>2303</v>
      </c>
      <c r="D1030" s="47" t="s">
        <v>2304</v>
      </c>
      <c r="E1030" s="47" t="s">
        <v>1427</v>
      </c>
      <c r="F1030" s="47" t="s">
        <v>374</v>
      </c>
      <c r="G1030" s="97" t="s">
        <v>748</v>
      </c>
    </row>
    <row r="1031" customFormat="false" ht="14.25" hidden="false" customHeight="false" outlineLevel="0" collapsed="false">
      <c r="A1031" s="47" t="s">
        <v>127</v>
      </c>
      <c r="B1031" s="47" t="n">
        <v>338851</v>
      </c>
      <c r="C1031" s="47" t="s">
        <v>75</v>
      </c>
      <c r="D1031" s="47" t="s">
        <v>2305</v>
      </c>
      <c r="E1031" s="47" t="s">
        <v>1427</v>
      </c>
      <c r="F1031" s="47" t="s">
        <v>374</v>
      </c>
      <c r="G1031" s="97" t="s">
        <v>748</v>
      </c>
    </row>
    <row r="1032" customFormat="false" ht="14.25" hidden="false" customHeight="false" outlineLevel="0" collapsed="false">
      <c r="A1032" s="47" t="s">
        <v>127</v>
      </c>
      <c r="B1032" s="47" t="n">
        <v>338851</v>
      </c>
      <c r="C1032" s="47" t="s">
        <v>76</v>
      </c>
      <c r="D1032" s="47" t="s">
        <v>2306</v>
      </c>
      <c r="E1032" s="47" t="s">
        <v>1427</v>
      </c>
      <c r="F1032" s="47" t="s">
        <v>374</v>
      </c>
      <c r="G1032" s="97" t="s">
        <v>748</v>
      </c>
    </row>
    <row r="1033" customFormat="false" ht="14.25" hidden="false" customHeight="false" outlineLevel="0" collapsed="false">
      <c r="A1033" s="47" t="s">
        <v>127</v>
      </c>
      <c r="B1033" s="47" t="n">
        <v>338851</v>
      </c>
      <c r="C1033" s="47" t="s">
        <v>2307</v>
      </c>
      <c r="D1033" s="47" t="s">
        <v>2308</v>
      </c>
      <c r="E1033" s="47" t="s">
        <v>1427</v>
      </c>
      <c r="F1033" s="47" t="s">
        <v>374</v>
      </c>
      <c r="G1033" s="97" t="s">
        <v>748</v>
      </c>
    </row>
    <row r="1034" customFormat="false" ht="14.25" hidden="false" customHeight="false" outlineLevel="0" collapsed="false">
      <c r="A1034" s="47" t="s">
        <v>127</v>
      </c>
      <c r="B1034" s="47" t="n">
        <v>338851</v>
      </c>
      <c r="C1034" s="47" t="s">
        <v>73</v>
      </c>
      <c r="D1034" s="47" t="s">
        <v>2309</v>
      </c>
      <c r="E1034" s="47" t="s">
        <v>1427</v>
      </c>
      <c r="F1034" s="47" t="s">
        <v>374</v>
      </c>
      <c r="G1034" s="97" t="s">
        <v>748</v>
      </c>
    </row>
    <row r="1035" customFormat="false" ht="14.25" hidden="false" customHeight="false" outlineLevel="0" collapsed="false">
      <c r="A1035" s="47" t="s">
        <v>127</v>
      </c>
      <c r="B1035" s="47" t="n">
        <v>338851</v>
      </c>
      <c r="C1035" s="47" t="s">
        <v>2310</v>
      </c>
      <c r="D1035" s="47" t="s">
        <v>2311</v>
      </c>
      <c r="E1035" s="47" t="s">
        <v>1427</v>
      </c>
      <c r="F1035" s="47" t="s">
        <v>374</v>
      </c>
      <c r="G1035" s="97" t="s">
        <v>748</v>
      </c>
    </row>
    <row r="1036" customFormat="false" ht="14.25" hidden="false" customHeight="false" outlineLevel="0" collapsed="false">
      <c r="A1036" s="47" t="s">
        <v>127</v>
      </c>
      <c r="B1036" s="47" t="n">
        <v>338851</v>
      </c>
      <c r="C1036" s="47" t="s">
        <v>77</v>
      </c>
      <c r="D1036" s="47" t="s">
        <v>2312</v>
      </c>
      <c r="E1036" s="47" t="s">
        <v>1427</v>
      </c>
      <c r="F1036" s="47" t="s">
        <v>374</v>
      </c>
      <c r="G1036" s="97" t="s">
        <v>748</v>
      </c>
    </row>
    <row r="1037" customFormat="false" ht="14.25" hidden="false" customHeight="false" outlineLevel="0" collapsed="false">
      <c r="A1037" s="47" t="s">
        <v>127</v>
      </c>
      <c r="B1037" s="47" t="n">
        <v>338851</v>
      </c>
      <c r="C1037" s="47" t="s">
        <v>2313</v>
      </c>
      <c r="D1037" s="47" t="s">
        <v>2314</v>
      </c>
      <c r="E1037" s="47" t="s">
        <v>1427</v>
      </c>
      <c r="F1037" s="47" t="s">
        <v>374</v>
      </c>
      <c r="G1037" s="97" t="s">
        <v>748</v>
      </c>
    </row>
    <row r="1038" customFormat="false" ht="14.25" hidden="false" customHeight="false" outlineLevel="0" collapsed="false">
      <c r="A1038" s="47" t="s">
        <v>127</v>
      </c>
      <c r="B1038" s="47" t="n">
        <v>338851</v>
      </c>
      <c r="C1038" s="47" t="s">
        <v>2315</v>
      </c>
      <c r="D1038" s="47" t="s">
        <v>2316</v>
      </c>
      <c r="E1038" s="47" t="s">
        <v>1427</v>
      </c>
      <c r="F1038" s="47" t="s">
        <v>374</v>
      </c>
      <c r="G1038" s="97" t="s">
        <v>748</v>
      </c>
    </row>
    <row r="1039" customFormat="false" ht="14.25" hidden="false" customHeight="false" outlineLevel="0" collapsed="false">
      <c r="A1039" s="47" t="s">
        <v>164</v>
      </c>
      <c r="B1039" s="47" t="n">
        <v>3</v>
      </c>
      <c r="C1039" s="47" t="s">
        <v>2317</v>
      </c>
      <c r="D1039" s="47" t="s">
        <v>2318</v>
      </c>
      <c r="E1039" s="47" t="s">
        <v>1427</v>
      </c>
      <c r="F1039" s="47" t="s">
        <v>374</v>
      </c>
      <c r="G1039" s="97" t="s">
        <v>748</v>
      </c>
    </row>
    <row r="1040" customFormat="false" ht="14.25" hidden="false" customHeight="false" outlineLevel="0" collapsed="false">
      <c r="A1040" s="47" t="s">
        <v>164</v>
      </c>
      <c r="B1040" s="47" t="n">
        <v>3</v>
      </c>
      <c r="C1040" s="47" t="s">
        <v>2319</v>
      </c>
      <c r="D1040" s="47" t="s">
        <v>2320</v>
      </c>
      <c r="E1040" s="47" t="s">
        <v>1427</v>
      </c>
      <c r="F1040" s="47" t="s">
        <v>374</v>
      </c>
      <c r="G1040" s="97" t="s">
        <v>748</v>
      </c>
    </row>
    <row r="1041" customFormat="false" ht="14.25" hidden="false" customHeight="false" outlineLevel="0" collapsed="false">
      <c r="A1041" s="47" t="s">
        <v>164</v>
      </c>
      <c r="B1041" s="47" t="n">
        <v>3</v>
      </c>
      <c r="C1041" s="47" t="s">
        <v>2321</v>
      </c>
      <c r="D1041" s="47" t="s">
        <v>2322</v>
      </c>
      <c r="E1041" s="47" t="s">
        <v>1427</v>
      </c>
      <c r="F1041" s="47" t="s">
        <v>374</v>
      </c>
      <c r="G1041" s="97" t="s">
        <v>748</v>
      </c>
    </row>
    <row r="1042" customFormat="false" ht="14.25" hidden="false" customHeight="false" outlineLevel="0" collapsed="false">
      <c r="A1042" s="47" t="s">
        <v>164</v>
      </c>
      <c r="B1042" s="47" t="n">
        <v>3</v>
      </c>
      <c r="C1042" s="47" t="s">
        <v>2323</v>
      </c>
      <c r="D1042" s="47" t="s">
        <v>2324</v>
      </c>
      <c r="E1042" s="47" t="s">
        <v>1427</v>
      </c>
      <c r="F1042" s="47" t="s">
        <v>374</v>
      </c>
      <c r="G1042" s="97" t="s">
        <v>748</v>
      </c>
    </row>
    <row r="1043" customFormat="false" ht="14.25" hidden="false" customHeight="false" outlineLevel="0" collapsed="false">
      <c r="A1043" s="47" t="s">
        <v>164</v>
      </c>
      <c r="B1043" s="47" t="n">
        <v>3</v>
      </c>
      <c r="C1043" s="47" t="s">
        <v>2325</v>
      </c>
      <c r="D1043" s="47" t="s">
        <v>2326</v>
      </c>
      <c r="E1043" s="47" t="s">
        <v>1427</v>
      </c>
      <c r="F1043" s="47" t="s">
        <v>374</v>
      </c>
      <c r="G1043" s="97" t="s">
        <v>748</v>
      </c>
    </row>
    <row r="1044" customFormat="false" ht="14.25" hidden="false" customHeight="false" outlineLevel="0" collapsed="false">
      <c r="A1044" s="47" t="s">
        <v>164</v>
      </c>
      <c r="B1044" s="47" t="n">
        <v>3</v>
      </c>
      <c r="C1044" s="47" t="s">
        <v>166</v>
      </c>
      <c r="D1044" s="47" t="s">
        <v>2327</v>
      </c>
      <c r="E1044" s="47" t="s">
        <v>1427</v>
      </c>
      <c r="F1044" s="47" t="s">
        <v>374</v>
      </c>
      <c r="G1044" s="97" t="s">
        <v>748</v>
      </c>
    </row>
    <row r="1045" customFormat="false" ht="14.25" hidden="false" customHeight="false" outlineLevel="0" collapsed="false">
      <c r="A1045" s="47" t="s">
        <v>164</v>
      </c>
      <c r="B1045" s="47" t="n">
        <v>3</v>
      </c>
      <c r="C1045" s="47" t="s">
        <v>2328</v>
      </c>
      <c r="D1045" s="47" t="s">
        <v>2329</v>
      </c>
      <c r="E1045" s="47" t="s">
        <v>1427</v>
      </c>
      <c r="F1045" s="47" t="s">
        <v>374</v>
      </c>
      <c r="G1045" s="97" t="s">
        <v>748</v>
      </c>
    </row>
    <row r="1046" customFormat="false" ht="14.25" hidden="false" customHeight="false" outlineLevel="0" collapsed="false">
      <c r="A1046" s="47" t="s">
        <v>164</v>
      </c>
      <c r="B1046" s="47" t="n">
        <v>3</v>
      </c>
      <c r="C1046" s="47" t="s">
        <v>2330</v>
      </c>
      <c r="D1046" s="47" t="s">
        <v>2331</v>
      </c>
      <c r="E1046" s="47" t="s">
        <v>1427</v>
      </c>
      <c r="F1046" s="47" t="s">
        <v>374</v>
      </c>
      <c r="G1046" s="97" t="s">
        <v>748</v>
      </c>
    </row>
    <row r="1047" customFormat="false" ht="14.25" hidden="false" customHeight="false" outlineLevel="0" collapsed="false">
      <c r="A1047" s="47" t="s">
        <v>164</v>
      </c>
      <c r="B1047" s="47" t="n">
        <v>3</v>
      </c>
      <c r="C1047" s="47" t="s">
        <v>2332</v>
      </c>
      <c r="D1047" s="47" t="s">
        <v>2333</v>
      </c>
      <c r="E1047" s="47" t="s">
        <v>1427</v>
      </c>
      <c r="F1047" s="47" t="s">
        <v>374</v>
      </c>
      <c r="G1047" s="97" t="s">
        <v>748</v>
      </c>
    </row>
    <row r="1048" customFormat="false" ht="14.25" hidden="false" customHeight="false" outlineLevel="0" collapsed="false">
      <c r="A1048" s="47" t="s">
        <v>164</v>
      </c>
      <c r="B1048" s="47" t="n">
        <v>3</v>
      </c>
      <c r="C1048" s="47" t="s">
        <v>2334</v>
      </c>
      <c r="D1048" s="47" t="s">
        <v>2335</v>
      </c>
      <c r="E1048" s="47" t="s">
        <v>1427</v>
      </c>
      <c r="F1048" s="47" t="s">
        <v>374</v>
      </c>
      <c r="G1048" s="97" t="s">
        <v>748</v>
      </c>
    </row>
    <row r="1049" customFormat="false" ht="14.25" hidden="false" customHeight="false" outlineLevel="0" collapsed="false">
      <c r="A1049" s="47" t="s">
        <v>164</v>
      </c>
      <c r="B1049" s="47" t="n">
        <v>3</v>
      </c>
      <c r="C1049" s="47" t="s">
        <v>2336</v>
      </c>
      <c r="D1049" s="47" t="s">
        <v>2337</v>
      </c>
      <c r="E1049" s="47" t="s">
        <v>1427</v>
      </c>
      <c r="F1049" s="47" t="s">
        <v>374</v>
      </c>
      <c r="G1049" s="97" t="s">
        <v>748</v>
      </c>
    </row>
    <row r="1050" customFormat="false" ht="14.25" hidden="false" customHeight="false" outlineLevel="0" collapsed="false">
      <c r="A1050" s="47" t="s">
        <v>164</v>
      </c>
      <c r="B1050" s="47" t="n">
        <v>3</v>
      </c>
      <c r="C1050" s="47" t="s">
        <v>2338</v>
      </c>
      <c r="D1050" s="47" t="s">
        <v>458</v>
      </c>
      <c r="E1050" s="47" t="s">
        <v>1427</v>
      </c>
      <c r="F1050" s="47" t="s">
        <v>374</v>
      </c>
      <c r="G1050" s="97" t="s">
        <v>748</v>
      </c>
    </row>
    <row r="1051" customFormat="false" ht="14.25" hidden="false" customHeight="false" outlineLevel="0" collapsed="false">
      <c r="A1051" s="47" t="s">
        <v>164</v>
      </c>
      <c r="B1051" s="47" t="n">
        <v>3</v>
      </c>
      <c r="C1051" s="47" t="s">
        <v>2339</v>
      </c>
      <c r="D1051" s="47" t="s">
        <v>2340</v>
      </c>
      <c r="E1051" s="47" t="s">
        <v>1427</v>
      </c>
      <c r="F1051" s="47" t="s">
        <v>374</v>
      </c>
      <c r="G1051" s="97" t="s">
        <v>748</v>
      </c>
    </row>
    <row r="1052" customFormat="false" ht="14.25" hidden="false" customHeight="false" outlineLevel="0" collapsed="false">
      <c r="A1052" s="47" t="s">
        <v>164</v>
      </c>
      <c r="B1052" s="47" t="n">
        <v>3</v>
      </c>
      <c r="C1052" s="47" t="s">
        <v>2341</v>
      </c>
      <c r="D1052" s="47" t="s">
        <v>2342</v>
      </c>
      <c r="E1052" s="47" t="s">
        <v>1427</v>
      </c>
      <c r="F1052" s="47" t="s">
        <v>374</v>
      </c>
      <c r="G1052" s="97" t="s">
        <v>748</v>
      </c>
    </row>
    <row r="1053" customFormat="false" ht="14.25" hidden="false" customHeight="false" outlineLevel="0" collapsed="false">
      <c r="A1053" s="47" t="s">
        <v>164</v>
      </c>
      <c r="B1053" s="47" t="n">
        <v>3</v>
      </c>
      <c r="C1053" s="47" t="s">
        <v>2343</v>
      </c>
      <c r="D1053" s="47" t="s">
        <v>2344</v>
      </c>
      <c r="E1053" s="47" t="s">
        <v>1427</v>
      </c>
      <c r="F1053" s="47" t="s">
        <v>374</v>
      </c>
      <c r="G1053" s="97" t="s">
        <v>748</v>
      </c>
    </row>
    <row r="1054" customFormat="false" ht="14.25" hidden="false" customHeight="false" outlineLevel="0" collapsed="false">
      <c r="A1054" s="47" t="s">
        <v>164</v>
      </c>
      <c r="B1054" s="47" t="n">
        <v>3</v>
      </c>
      <c r="C1054" s="47" t="s">
        <v>2345</v>
      </c>
      <c r="D1054" s="47" t="s">
        <v>2326</v>
      </c>
      <c r="E1054" s="47" t="s">
        <v>1427</v>
      </c>
      <c r="F1054" s="47" t="s">
        <v>374</v>
      </c>
      <c r="G1054" s="97" t="s">
        <v>748</v>
      </c>
    </row>
    <row r="1055" customFormat="false" ht="14.25" hidden="false" customHeight="false" outlineLevel="0" collapsed="false">
      <c r="A1055" s="47" t="s">
        <v>164</v>
      </c>
      <c r="B1055" s="47" t="n">
        <v>3</v>
      </c>
      <c r="C1055" s="47" t="s">
        <v>2346</v>
      </c>
      <c r="D1055" s="47" t="s">
        <v>2347</v>
      </c>
      <c r="E1055" s="47" t="s">
        <v>1427</v>
      </c>
      <c r="F1055" s="47" t="s">
        <v>374</v>
      </c>
      <c r="G1055" s="97" t="s">
        <v>748</v>
      </c>
    </row>
    <row r="1056" customFormat="false" ht="14.25" hidden="false" customHeight="false" outlineLevel="0" collapsed="false">
      <c r="A1056" s="47" t="s">
        <v>164</v>
      </c>
      <c r="B1056" s="47" t="n">
        <v>3</v>
      </c>
      <c r="C1056" s="47" t="s">
        <v>2348</v>
      </c>
      <c r="D1056" s="47" t="s">
        <v>2349</v>
      </c>
      <c r="E1056" s="47" t="s">
        <v>1427</v>
      </c>
      <c r="F1056" s="47" t="s">
        <v>374</v>
      </c>
      <c r="G1056" s="97" t="s">
        <v>748</v>
      </c>
    </row>
    <row r="1057" customFormat="false" ht="14.25" hidden="false" customHeight="false" outlineLevel="0" collapsed="false">
      <c r="A1057" s="47" t="s">
        <v>226</v>
      </c>
      <c r="B1057" s="47" t="n">
        <v>1</v>
      </c>
      <c r="C1057" s="47" t="s">
        <v>201</v>
      </c>
      <c r="D1057" s="47" t="s">
        <v>2350</v>
      </c>
      <c r="E1057" s="47" t="s">
        <v>1427</v>
      </c>
      <c r="F1057" s="47" t="s">
        <v>374</v>
      </c>
      <c r="G1057" s="97" t="s">
        <v>748</v>
      </c>
    </row>
    <row r="1058" customFormat="false" ht="14.25" hidden="false" customHeight="false" outlineLevel="0" collapsed="false">
      <c r="A1058" s="47" t="s">
        <v>226</v>
      </c>
      <c r="B1058" s="47" t="n">
        <v>1</v>
      </c>
      <c r="C1058" s="47" t="s">
        <v>189</v>
      </c>
      <c r="D1058" s="47" t="s">
        <v>2351</v>
      </c>
      <c r="E1058" s="47" t="s">
        <v>1427</v>
      </c>
      <c r="F1058" s="47" t="s">
        <v>374</v>
      </c>
      <c r="G1058" s="97" t="s">
        <v>748</v>
      </c>
    </row>
    <row r="1059" customFormat="false" ht="14.25" hidden="false" customHeight="false" outlineLevel="0" collapsed="false">
      <c r="A1059" s="47" t="s">
        <v>226</v>
      </c>
      <c r="B1059" s="47" t="n">
        <v>1</v>
      </c>
      <c r="C1059" s="47" t="s">
        <v>2352</v>
      </c>
      <c r="D1059" s="47" t="s">
        <v>2350</v>
      </c>
      <c r="E1059" s="47" t="s">
        <v>1427</v>
      </c>
      <c r="F1059" s="47" t="s">
        <v>374</v>
      </c>
      <c r="G1059" s="97" t="s">
        <v>748</v>
      </c>
    </row>
    <row r="1060" customFormat="false" ht="14.25" hidden="false" customHeight="false" outlineLevel="0" collapsed="false">
      <c r="A1060" s="47" t="s">
        <v>226</v>
      </c>
      <c r="B1060" s="47" t="n">
        <v>1</v>
      </c>
      <c r="C1060" s="47" t="s">
        <v>179</v>
      </c>
      <c r="D1060" s="47" t="s">
        <v>2353</v>
      </c>
      <c r="E1060" s="47" t="s">
        <v>1427</v>
      </c>
      <c r="F1060" s="47" t="s">
        <v>374</v>
      </c>
      <c r="G1060" s="97" t="s">
        <v>748</v>
      </c>
    </row>
    <row r="1061" customFormat="false" ht="14.25" hidden="false" customHeight="false" outlineLevel="0" collapsed="false">
      <c r="A1061" s="47" t="s">
        <v>226</v>
      </c>
      <c r="B1061" s="47" t="n">
        <v>1</v>
      </c>
      <c r="C1061" s="47" t="s">
        <v>2354</v>
      </c>
      <c r="D1061" s="47" t="s">
        <v>2355</v>
      </c>
      <c r="E1061" s="47" t="s">
        <v>1427</v>
      </c>
      <c r="F1061" s="47" t="s">
        <v>374</v>
      </c>
      <c r="G1061" s="97" t="s">
        <v>748</v>
      </c>
    </row>
    <row r="1062" customFormat="false" ht="14.25" hidden="false" customHeight="false" outlineLevel="0" collapsed="false">
      <c r="A1062" s="47" t="s">
        <v>226</v>
      </c>
      <c r="B1062" s="47" t="n">
        <v>1</v>
      </c>
      <c r="C1062" s="47" t="s">
        <v>292</v>
      </c>
      <c r="D1062" s="47" t="s">
        <v>2356</v>
      </c>
      <c r="E1062" s="47" t="s">
        <v>1427</v>
      </c>
      <c r="F1062" s="47" t="s">
        <v>374</v>
      </c>
      <c r="G1062" s="97" t="s">
        <v>748</v>
      </c>
    </row>
    <row r="1063" customFormat="false" ht="14.25" hidden="false" customHeight="false" outlineLevel="0" collapsed="false">
      <c r="A1063" s="47" t="s">
        <v>226</v>
      </c>
      <c r="B1063" s="47" t="n">
        <v>1</v>
      </c>
      <c r="C1063" s="47" t="s">
        <v>2357</v>
      </c>
      <c r="D1063" s="47" t="s">
        <v>2358</v>
      </c>
      <c r="E1063" s="47" t="s">
        <v>1427</v>
      </c>
      <c r="F1063" s="47" t="s">
        <v>374</v>
      </c>
      <c r="G1063" s="97" t="s">
        <v>748</v>
      </c>
    </row>
    <row r="1064" customFormat="false" ht="14.25" hidden="false" customHeight="false" outlineLevel="0" collapsed="false">
      <c r="A1064" s="47" t="s">
        <v>226</v>
      </c>
      <c r="B1064" s="47" t="n">
        <v>1</v>
      </c>
      <c r="C1064" s="47" t="s">
        <v>2359</v>
      </c>
      <c r="D1064" s="47" t="s">
        <v>2360</v>
      </c>
      <c r="E1064" s="47" t="s">
        <v>1427</v>
      </c>
      <c r="F1064" s="47" t="s">
        <v>374</v>
      </c>
      <c r="G1064" s="97" t="s">
        <v>748</v>
      </c>
    </row>
    <row r="1065" customFormat="false" ht="14.25" hidden="false" customHeight="false" outlineLevel="0" collapsed="false">
      <c r="A1065" s="47" t="s">
        <v>226</v>
      </c>
      <c r="B1065" s="47" t="n">
        <v>1</v>
      </c>
      <c r="C1065" s="47" t="s">
        <v>2361</v>
      </c>
      <c r="D1065" s="47" t="s">
        <v>2362</v>
      </c>
      <c r="E1065" s="47" t="s">
        <v>1427</v>
      </c>
      <c r="F1065" s="47" t="s">
        <v>374</v>
      </c>
      <c r="G1065" s="97" t="s">
        <v>748</v>
      </c>
    </row>
    <row r="1066" customFormat="false" ht="14.25" hidden="false" customHeight="false" outlineLevel="0" collapsed="false">
      <c r="A1066" s="47" t="s">
        <v>226</v>
      </c>
      <c r="B1066" s="47" t="n">
        <v>1</v>
      </c>
      <c r="C1066" s="47" t="s">
        <v>2363</v>
      </c>
      <c r="D1066" s="47" t="s">
        <v>2364</v>
      </c>
      <c r="E1066" s="47" t="s">
        <v>1427</v>
      </c>
      <c r="F1066" s="47" t="s">
        <v>374</v>
      </c>
      <c r="G1066" s="97" t="s">
        <v>748</v>
      </c>
    </row>
    <row r="1067" customFormat="false" ht="14.25" hidden="false" customHeight="false" outlineLevel="0" collapsed="false">
      <c r="A1067" s="47" t="s">
        <v>226</v>
      </c>
      <c r="B1067" s="47" t="n">
        <v>1</v>
      </c>
      <c r="C1067" s="47" t="s">
        <v>184</v>
      </c>
      <c r="D1067" s="47" t="s">
        <v>2365</v>
      </c>
      <c r="E1067" s="47" t="s">
        <v>1427</v>
      </c>
      <c r="F1067" s="47" t="s">
        <v>374</v>
      </c>
      <c r="G1067" s="97" t="s">
        <v>748</v>
      </c>
    </row>
    <row r="1068" customFormat="false" ht="14.25" hidden="false" customHeight="false" outlineLevel="0" collapsed="false">
      <c r="A1068" s="47" t="s">
        <v>226</v>
      </c>
      <c r="B1068" s="47" t="n">
        <v>1</v>
      </c>
      <c r="C1068" s="47" t="s">
        <v>2366</v>
      </c>
      <c r="D1068" s="47" t="s">
        <v>2367</v>
      </c>
      <c r="E1068" s="47" t="s">
        <v>1427</v>
      </c>
      <c r="F1068" s="47" t="s">
        <v>374</v>
      </c>
      <c r="G1068" s="97" t="s">
        <v>748</v>
      </c>
    </row>
    <row r="1069" customFormat="false" ht="14.25" hidden="false" customHeight="false" outlineLevel="0" collapsed="false">
      <c r="A1069" s="47" t="s">
        <v>226</v>
      </c>
      <c r="B1069" s="47" t="n">
        <v>1</v>
      </c>
      <c r="C1069" s="47" t="s">
        <v>2368</v>
      </c>
      <c r="D1069" s="47" t="s">
        <v>2355</v>
      </c>
      <c r="E1069" s="47" t="s">
        <v>1427</v>
      </c>
      <c r="F1069" s="47" t="s">
        <v>367</v>
      </c>
      <c r="G1069" s="97" t="s">
        <v>368</v>
      </c>
    </row>
    <row r="1070" customFormat="false" ht="14.25" hidden="false" customHeight="false" outlineLevel="0" collapsed="false">
      <c r="A1070" s="47" t="s">
        <v>226</v>
      </c>
      <c r="B1070" s="47" t="n">
        <v>1</v>
      </c>
      <c r="C1070" s="47" t="s">
        <v>2369</v>
      </c>
      <c r="D1070" s="47" t="s">
        <v>2370</v>
      </c>
      <c r="E1070" s="47" t="s">
        <v>1427</v>
      </c>
      <c r="F1070" s="47" t="s">
        <v>374</v>
      </c>
      <c r="G1070" s="97" t="s">
        <v>748</v>
      </c>
    </row>
    <row r="1071" customFormat="false" ht="14.25" hidden="false" customHeight="false" outlineLevel="0" collapsed="false">
      <c r="A1071" s="47" t="s">
        <v>226</v>
      </c>
      <c r="B1071" s="47" t="n">
        <v>1</v>
      </c>
      <c r="C1071" s="47" t="s">
        <v>1066</v>
      </c>
      <c r="D1071" s="47" t="s">
        <v>629</v>
      </c>
      <c r="E1071" s="47" t="s">
        <v>1427</v>
      </c>
      <c r="F1071" s="47" t="s">
        <v>374</v>
      </c>
      <c r="G1071" s="97" t="s">
        <v>748</v>
      </c>
    </row>
  </sheetData>
  <autoFilter ref="A2:G1071"/>
  <conditionalFormatting sqref="A2:G2">
    <cfRule type="duplicateValues" priority="2" aboveAverage="0" equalAverage="0" bottom="0" percent="0" rank="0" text="" dxfId="127"/>
  </conditionalFormatting>
  <hyperlinks>
    <hyperlink ref="D85" r:id="rId1" display="https://www.paodeacucar.com/"/>
    <hyperlink ref="D86" r:id="rId2" display="https://www.mercadolivre.com.br/"/>
    <hyperlink ref="D87" r:id="rId3" display="https://www.livrariacultura.com.br/"/>
    <hyperlink ref="D88" r:id="rId4" display="https://www.samsung.com/br/"/>
    <hyperlink ref="D89" r:id="rId5" display="https://www.fastshop.com.br/web/"/>
    <hyperlink ref="D90" r:id="rId6" display="https://www.dafiti.com.br/"/>
    <hyperlink ref="D91" r:id="rId7" display="https://www.casasbahia.com.br/"/>
    <hyperlink ref="D92" r:id="rId8" display="https://www.shoptime.com.br/"/>
    <hyperlink ref="D93" r:id="rId9" display="https://www.extra.com.br/"/>
    <hyperlink ref="D94" r:id="rId10" display="https://www.pontofrio.com.br/"/>
    <hyperlink ref="D95" r:id="rId11" display="https://www.carrefour.com.br/"/>
    <hyperlink ref="D96" r:id="rId12" display="https://www.drogaraia.com.br/"/>
    <hyperlink ref="D97" r:id="rId13" display="https://www.livrariascuritiba.com.br/"/>
    <hyperlink ref="D98" r:id="rId14" display="https://www.kabum.com.br/"/>
    <hyperlink ref="D99" r:id="rId15" display="https://www.netshoes.com.br/"/>
    <hyperlink ref="D100" r:id="rId16" display="https://www.travessa.com.br"/>
    <hyperlink ref="D101" r:id="rId17" display="https://www.kalunga.com.br/"/>
    <hyperlink ref="D103" r:id="rId18" display="https://www.netshoes.com.br/"/>
    <hyperlink ref="D104" r:id="rId19" display="https://www.leroymerlin.com.br/"/>
    <hyperlink ref="D911" r:id="rId20" display="https://www.magazineluiza.com.br/"/>
    <hyperlink ref="D912" r:id="rId21" display="https://www.submarino.com.br/"/>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G66"/>
  <sheetViews>
    <sheetView showFormulas="false" showGridLines="true" showRowColHeaders="true" showZeros="true" rightToLeft="false" tabSelected="false" showOutlineSymbols="true" defaultGridColor="true" view="normal" topLeftCell="L1" colorId="64" zoomScale="100" zoomScaleNormal="100" zoomScalePageLayoutView="100" workbookViewId="0">
      <pane xSplit="0" ySplit="2" topLeftCell="A3" activePane="bottomLeft" state="frozen"/>
      <selection pane="topLeft" activeCell="L1" activeCellId="0" sqref="L1"/>
      <selection pane="bottomLeft" activeCell="A2" activeCellId="1" sqref="4:8 A2"/>
    </sheetView>
  </sheetViews>
  <sheetFormatPr defaultColWidth="8.54296875" defaultRowHeight="14.25" zeroHeight="false" outlineLevelRow="0" outlineLevelCol="0"/>
  <cols>
    <col collapsed="false" customWidth="true" hidden="false" outlineLevel="0" max="1" min="1" style="1" width="5.54"/>
    <col collapsed="false" customWidth="true" hidden="false" outlineLevel="0" max="2" min="2" style="1" width="12.27"/>
    <col collapsed="false" customWidth="true" hidden="false" outlineLevel="0" max="3" min="3" style="1" width="13.36"/>
    <col collapsed="false" customWidth="true" hidden="false" outlineLevel="0" max="4" min="4" style="1" width="25.91"/>
    <col collapsed="false" customWidth="true" hidden="false" outlineLevel="0" max="5" min="5" style="1" width="26.54"/>
    <col collapsed="false" customWidth="true" hidden="false" outlineLevel="0" max="6" min="6" style="1" width="30.63"/>
    <col collapsed="false" customWidth="true" hidden="false" outlineLevel="0" max="7" min="7" style="1" width="16.17"/>
  </cols>
  <sheetData>
    <row r="1" customFormat="false" ht="45" hidden="false" customHeight="true" outlineLevel="0" collapsed="false"/>
    <row r="2" customFormat="false" ht="14.25" hidden="false" customHeight="false" outlineLevel="0" collapsed="false">
      <c r="A2" s="31" t="s">
        <v>1</v>
      </c>
      <c r="B2" s="31" t="s">
        <v>96</v>
      </c>
      <c r="C2" s="31" t="s">
        <v>2371</v>
      </c>
      <c r="D2" s="31" t="s">
        <v>2372</v>
      </c>
      <c r="E2" s="31" t="s">
        <v>2373</v>
      </c>
      <c r="F2" s="31" t="s">
        <v>2374</v>
      </c>
      <c r="G2" s="31" t="s">
        <v>2375</v>
      </c>
    </row>
    <row r="3" customFormat="false" ht="14.25" hidden="false" customHeight="false" outlineLevel="0" collapsed="false">
      <c r="A3" s="100" t="s">
        <v>242</v>
      </c>
      <c r="B3" s="1" t="s">
        <v>115</v>
      </c>
      <c r="C3" s="1" t="s">
        <v>2376</v>
      </c>
      <c r="D3" s="1" t="s">
        <v>2377</v>
      </c>
      <c r="E3" s="1" t="s">
        <v>2378</v>
      </c>
      <c r="F3" s="1" t="s">
        <v>2379</v>
      </c>
      <c r="G3" s="1" t="s">
        <v>2380</v>
      </c>
    </row>
    <row r="4" customFormat="false" ht="14.25" hidden="false" customHeight="false" outlineLevel="0" collapsed="false">
      <c r="A4" s="100"/>
      <c r="B4" s="1" t="s">
        <v>2381</v>
      </c>
      <c r="C4" s="1" t="s">
        <v>2376</v>
      </c>
      <c r="D4" s="1" t="s">
        <v>2377</v>
      </c>
      <c r="E4" s="1" t="s">
        <v>2378</v>
      </c>
      <c r="F4" s="1" t="s">
        <v>2379</v>
      </c>
      <c r="G4" s="1" t="s">
        <v>2380</v>
      </c>
    </row>
    <row r="5" customFormat="false" ht="14.25" hidden="false" customHeight="false" outlineLevel="0" collapsed="false">
      <c r="A5" s="100"/>
      <c r="B5" s="1" t="s">
        <v>138</v>
      </c>
      <c r="C5" s="1" t="s">
        <v>2376</v>
      </c>
      <c r="D5" s="1" t="s">
        <v>2377</v>
      </c>
      <c r="E5" s="1" t="s">
        <v>2378</v>
      </c>
      <c r="F5" s="1" t="s">
        <v>2379</v>
      </c>
      <c r="G5" s="1" t="s">
        <v>2380</v>
      </c>
    </row>
    <row r="6" customFormat="false" ht="14.25" hidden="false" customHeight="false" outlineLevel="0" collapsed="false">
      <c r="A6" s="100"/>
      <c r="B6" s="1" t="s">
        <v>2382</v>
      </c>
      <c r="C6" s="1" t="s">
        <v>2376</v>
      </c>
      <c r="D6" s="1" t="s">
        <v>2377</v>
      </c>
      <c r="E6" s="1" t="s">
        <v>2378</v>
      </c>
      <c r="F6" s="1" t="s">
        <v>2379</v>
      </c>
      <c r="G6" s="1" t="s">
        <v>2380</v>
      </c>
    </row>
    <row r="7" customFormat="false" ht="14.25" hidden="false" customHeight="false" outlineLevel="0" collapsed="false">
      <c r="A7" s="100" t="s">
        <v>6</v>
      </c>
      <c r="B7" s="1" t="s">
        <v>115</v>
      </c>
      <c r="C7" s="1" t="s">
        <v>2376</v>
      </c>
      <c r="D7" s="1" t="s">
        <v>2377</v>
      </c>
      <c r="E7" s="1" t="s">
        <v>2378</v>
      </c>
      <c r="F7" s="1" t="s">
        <v>2383</v>
      </c>
      <c r="G7" s="1" t="s">
        <v>2380</v>
      </c>
    </row>
    <row r="8" customFormat="false" ht="14.25" hidden="false" customHeight="false" outlineLevel="0" collapsed="false">
      <c r="A8" s="100"/>
      <c r="B8" s="1" t="s">
        <v>2381</v>
      </c>
      <c r="C8" s="1" t="s">
        <v>2376</v>
      </c>
      <c r="D8" s="1" t="s">
        <v>2377</v>
      </c>
      <c r="E8" s="1" t="s">
        <v>2378</v>
      </c>
      <c r="F8" s="1" t="s">
        <v>2383</v>
      </c>
      <c r="G8" s="1" t="s">
        <v>2380</v>
      </c>
    </row>
    <row r="9" customFormat="false" ht="14.25" hidden="false" customHeight="false" outlineLevel="0" collapsed="false">
      <c r="A9" s="100"/>
      <c r="B9" s="1" t="s">
        <v>138</v>
      </c>
      <c r="C9" s="1" t="s">
        <v>2376</v>
      </c>
      <c r="D9" s="1" t="s">
        <v>2377</v>
      </c>
      <c r="E9" s="1" t="s">
        <v>2378</v>
      </c>
      <c r="F9" s="1" t="s">
        <v>2383</v>
      </c>
      <c r="G9" s="1" t="s">
        <v>2380</v>
      </c>
    </row>
    <row r="10" customFormat="false" ht="14.25" hidden="false" customHeight="false" outlineLevel="0" collapsed="false">
      <c r="A10" s="100"/>
      <c r="B10" s="1" t="s">
        <v>2382</v>
      </c>
      <c r="C10" s="1" t="s">
        <v>2376</v>
      </c>
      <c r="D10" s="1" t="s">
        <v>2377</v>
      </c>
      <c r="E10" s="1" t="s">
        <v>2378</v>
      </c>
      <c r="F10" s="1" t="s">
        <v>2383</v>
      </c>
      <c r="G10" s="1" t="s">
        <v>2380</v>
      </c>
    </row>
    <row r="11" customFormat="false" ht="14.25" hidden="false" customHeight="false" outlineLevel="0" collapsed="false">
      <c r="A11" s="100" t="s">
        <v>276</v>
      </c>
      <c r="B11" s="1" t="s">
        <v>115</v>
      </c>
      <c r="C11" s="1" t="s">
        <v>2376</v>
      </c>
      <c r="D11" s="1" t="s">
        <v>2377</v>
      </c>
      <c r="E11" s="1" t="s">
        <v>2378</v>
      </c>
      <c r="F11" s="1" t="s">
        <v>2384</v>
      </c>
      <c r="G11" s="1" t="s">
        <v>2380</v>
      </c>
    </row>
    <row r="12" customFormat="false" ht="14.25" hidden="false" customHeight="false" outlineLevel="0" collapsed="false">
      <c r="A12" s="100"/>
      <c r="B12" s="1" t="s">
        <v>2381</v>
      </c>
      <c r="C12" s="1" t="s">
        <v>2376</v>
      </c>
      <c r="D12" s="1" t="s">
        <v>2377</v>
      </c>
      <c r="E12" s="1" t="s">
        <v>2378</v>
      </c>
      <c r="F12" s="1" t="s">
        <v>2384</v>
      </c>
      <c r="G12" s="1" t="s">
        <v>2380</v>
      </c>
    </row>
    <row r="13" customFormat="false" ht="14.25" hidden="false" customHeight="false" outlineLevel="0" collapsed="false">
      <c r="A13" s="100"/>
      <c r="B13" s="1" t="s">
        <v>138</v>
      </c>
      <c r="C13" s="1" t="s">
        <v>2376</v>
      </c>
      <c r="D13" s="1" t="s">
        <v>2377</v>
      </c>
      <c r="E13" s="1" t="s">
        <v>2378</v>
      </c>
      <c r="F13" s="1" t="s">
        <v>2384</v>
      </c>
      <c r="G13" s="1" t="s">
        <v>2380</v>
      </c>
    </row>
    <row r="14" customFormat="false" ht="14.25" hidden="false" customHeight="false" outlineLevel="0" collapsed="false">
      <c r="A14" s="100"/>
      <c r="B14" s="1" t="s">
        <v>2382</v>
      </c>
      <c r="C14" s="1" t="s">
        <v>2376</v>
      </c>
      <c r="D14" s="1" t="s">
        <v>2377</v>
      </c>
      <c r="E14" s="1" t="s">
        <v>2378</v>
      </c>
      <c r="F14" s="1" t="s">
        <v>2384</v>
      </c>
      <c r="G14" s="1" t="s">
        <v>2380</v>
      </c>
    </row>
    <row r="15" customFormat="false" ht="14.25" hidden="false" customHeight="false" outlineLevel="0" collapsed="false">
      <c r="A15" s="100" t="s">
        <v>561</v>
      </c>
      <c r="B15" s="1" t="s">
        <v>115</v>
      </c>
      <c r="C15" s="1" t="s">
        <v>2376</v>
      </c>
      <c r="D15" s="1" t="s">
        <v>2377</v>
      </c>
      <c r="E15" s="1" t="s">
        <v>2378</v>
      </c>
      <c r="F15" s="1" t="s">
        <v>2385</v>
      </c>
      <c r="G15" s="1" t="s">
        <v>2380</v>
      </c>
    </row>
    <row r="16" customFormat="false" ht="14.25" hidden="false" customHeight="false" outlineLevel="0" collapsed="false">
      <c r="A16" s="100"/>
      <c r="B16" s="1" t="s">
        <v>2381</v>
      </c>
      <c r="C16" s="1" t="s">
        <v>2376</v>
      </c>
      <c r="D16" s="1" t="s">
        <v>2377</v>
      </c>
      <c r="E16" s="1" t="s">
        <v>2378</v>
      </c>
      <c r="F16" s="1" t="s">
        <v>2386</v>
      </c>
      <c r="G16" s="1" t="s">
        <v>2380</v>
      </c>
    </row>
    <row r="17" customFormat="false" ht="14.25" hidden="false" customHeight="false" outlineLevel="0" collapsed="false">
      <c r="A17" s="100"/>
      <c r="B17" s="1" t="s">
        <v>138</v>
      </c>
      <c r="C17" s="1" t="s">
        <v>2376</v>
      </c>
      <c r="D17" s="1" t="s">
        <v>2377</v>
      </c>
      <c r="E17" s="1" t="s">
        <v>2378</v>
      </c>
      <c r="F17" s="1" t="s">
        <v>2387</v>
      </c>
      <c r="G17" s="1" t="s">
        <v>2380</v>
      </c>
    </row>
    <row r="18" customFormat="false" ht="14.25" hidden="false" customHeight="false" outlineLevel="0" collapsed="false">
      <c r="A18" s="100"/>
      <c r="B18" s="1" t="s">
        <v>2382</v>
      </c>
      <c r="C18" s="1" t="s">
        <v>2376</v>
      </c>
      <c r="D18" s="1" t="s">
        <v>2377</v>
      </c>
      <c r="E18" s="1" t="s">
        <v>2378</v>
      </c>
      <c r="F18" s="1" t="s">
        <v>2388</v>
      </c>
      <c r="G18" s="1" t="s">
        <v>2380</v>
      </c>
    </row>
    <row r="19" customFormat="false" ht="14.25" hidden="false" customHeight="false" outlineLevel="0" collapsed="false">
      <c r="A19" s="100" t="s">
        <v>114</v>
      </c>
      <c r="B19" s="1" t="s">
        <v>115</v>
      </c>
      <c r="C19" s="1" t="s">
        <v>2376</v>
      </c>
      <c r="D19" s="1" t="s">
        <v>2377</v>
      </c>
      <c r="E19" s="1" t="s">
        <v>2378</v>
      </c>
      <c r="F19" s="1" t="s">
        <v>2389</v>
      </c>
      <c r="G19" s="1" t="s">
        <v>2380</v>
      </c>
    </row>
    <row r="20" customFormat="false" ht="14.25" hidden="false" customHeight="false" outlineLevel="0" collapsed="false">
      <c r="A20" s="100"/>
      <c r="B20" s="1" t="s">
        <v>2381</v>
      </c>
      <c r="C20" s="1" t="s">
        <v>2376</v>
      </c>
      <c r="D20" s="1" t="s">
        <v>2377</v>
      </c>
      <c r="E20" s="1" t="s">
        <v>2378</v>
      </c>
      <c r="F20" s="1" t="s">
        <v>2390</v>
      </c>
      <c r="G20" s="1" t="s">
        <v>2380</v>
      </c>
    </row>
    <row r="21" customFormat="false" ht="14.25" hidden="false" customHeight="false" outlineLevel="0" collapsed="false">
      <c r="A21" s="100"/>
      <c r="B21" s="1" t="s">
        <v>138</v>
      </c>
      <c r="C21" s="1" t="s">
        <v>2376</v>
      </c>
      <c r="D21" s="1" t="s">
        <v>2377</v>
      </c>
      <c r="E21" s="1" t="s">
        <v>2378</v>
      </c>
      <c r="F21" s="1" t="s">
        <v>2391</v>
      </c>
      <c r="G21" s="1" t="s">
        <v>2380</v>
      </c>
    </row>
    <row r="22" customFormat="false" ht="14.25" hidden="false" customHeight="false" outlineLevel="0" collapsed="false">
      <c r="A22" s="100"/>
      <c r="B22" s="1" t="s">
        <v>2382</v>
      </c>
      <c r="C22" s="1" t="s">
        <v>2376</v>
      </c>
      <c r="D22" s="1" t="s">
        <v>2377</v>
      </c>
      <c r="E22" s="1" t="s">
        <v>2378</v>
      </c>
      <c r="F22" s="1" t="s">
        <v>2392</v>
      </c>
      <c r="G22" s="1" t="s">
        <v>2380</v>
      </c>
    </row>
    <row r="23" customFormat="false" ht="14.25" hidden="false" customHeight="false" outlineLevel="0" collapsed="false">
      <c r="A23" s="100" t="s">
        <v>147</v>
      </c>
      <c r="B23" s="1" t="s">
        <v>115</v>
      </c>
      <c r="C23" s="1" t="s">
        <v>2376</v>
      </c>
      <c r="D23" s="1" t="s">
        <v>2393</v>
      </c>
      <c r="E23" s="1" t="s">
        <v>2378</v>
      </c>
      <c r="F23" s="1" t="s">
        <v>2394</v>
      </c>
      <c r="G23" s="1" t="s">
        <v>2380</v>
      </c>
    </row>
    <row r="24" customFormat="false" ht="14.25" hidden="false" customHeight="false" outlineLevel="0" collapsed="false">
      <c r="A24" s="100"/>
      <c r="B24" s="1" t="s">
        <v>2381</v>
      </c>
      <c r="C24" s="1" t="s">
        <v>2376</v>
      </c>
      <c r="D24" s="1" t="s">
        <v>2377</v>
      </c>
      <c r="E24" s="1" t="s">
        <v>2378</v>
      </c>
      <c r="F24" s="1" t="s">
        <v>2395</v>
      </c>
      <c r="G24" s="1" t="s">
        <v>2380</v>
      </c>
    </row>
    <row r="25" customFormat="false" ht="14.25" hidden="false" customHeight="false" outlineLevel="0" collapsed="false">
      <c r="A25" s="100"/>
      <c r="B25" s="1" t="s">
        <v>138</v>
      </c>
      <c r="C25" s="1" t="s">
        <v>2376</v>
      </c>
      <c r="D25" s="1" t="s">
        <v>2377</v>
      </c>
      <c r="E25" s="1" t="s">
        <v>2378</v>
      </c>
      <c r="F25" s="1" t="s">
        <v>2396</v>
      </c>
      <c r="G25" s="1" t="s">
        <v>2380</v>
      </c>
    </row>
    <row r="26" customFormat="false" ht="14.25" hidden="false" customHeight="false" outlineLevel="0" collapsed="false">
      <c r="A26" s="100"/>
      <c r="B26" s="1" t="s">
        <v>2382</v>
      </c>
      <c r="C26" s="1" t="s">
        <v>2376</v>
      </c>
      <c r="D26" s="1" t="s">
        <v>2377</v>
      </c>
      <c r="E26" s="1" t="s">
        <v>2378</v>
      </c>
      <c r="F26" s="1" t="s">
        <v>2397</v>
      </c>
      <c r="G26" s="1" t="s">
        <v>2380</v>
      </c>
    </row>
    <row r="27" customFormat="false" ht="14.25" hidden="false" customHeight="false" outlineLevel="0" collapsed="false">
      <c r="A27" s="100" t="s">
        <v>137</v>
      </c>
      <c r="B27" s="1" t="s">
        <v>115</v>
      </c>
      <c r="C27" s="1" t="s">
        <v>2376</v>
      </c>
      <c r="D27" s="1" t="s">
        <v>2393</v>
      </c>
      <c r="E27" s="1" t="s">
        <v>2378</v>
      </c>
      <c r="F27" s="1" t="s">
        <v>2398</v>
      </c>
      <c r="G27" s="1" t="s">
        <v>2380</v>
      </c>
    </row>
    <row r="28" customFormat="false" ht="14.25" hidden="false" customHeight="false" outlineLevel="0" collapsed="false">
      <c r="A28" s="100"/>
      <c r="B28" s="1" t="s">
        <v>2381</v>
      </c>
      <c r="C28" s="1" t="s">
        <v>2376</v>
      </c>
      <c r="D28" s="1" t="s">
        <v>2377</v>
      </c>
      <c r="E28" s="1" t="s">
        <v>2378</v>
      </c>
      <c r="F28" s="1" t="s">
        <v>2399</v>
      </c>
      <c r="G28" s="1" t="s">
        <v>2380</v>
      </c>
    </row>
    <row r="29" customFormat="false" ht="14.25" hidden="false" customHeight="false" outlineLevel="0" collapsed="false">
      <c r="A29" s="100"/>
      <c r="B29" s="1" t="s">
        <v>138</v>
      </c>
      <c r="C29" s="1" t="s">
        <v>2376</v>
      </c>
      <c r="D29" s="1" t="s">
        <v>2377</v>
      </c>
      <c r="E29" s="1" t="s">
        <v>2378</v>
      </c>
      <c r="F29" s="1" t="s">
        <v>2400</v>
      </c>
      <c r="G29" s="1" t="s">
        <v>2380</v>
      </c>
    </row>
    <row r="30" customFormat="false" ht="14.25" hidden="false" customHeight="false" outlineLevel="0" collapsed="false">
      <c r="A30" s="100"/>
      <c r="B30" s="1" t="s">
        <v>2382</v>
      </c>
      <c r="C30" s="1" t="s">
        <v>2376</v>
      </c>
      <c r="D30" s="1" t="s">
        <v>2377</v>
      </c>
      <c r="E30" s="1" t="s">
        <v>2378</v>
      </c>
      <c r="F30" s="1" t="s">
        <v>2401</v>
      </c>
      <c r="G30" s="1" t="s">
        <v>2380</v>
      </c>
    </row>
    <row r="31" customFormat="false" ht="14.25" hidden="false" customHeight="false" outlineLevel="0" collapsed="false">
      <c r="A31" s="100" t="s">
        <v>252</v>
      </c>
      <c r="B31" s="1" t="s">
        <v>115</v>
      </c>
      <c r="C31" s="1" t="s">
        <v>2376</v>
      </c>
      <c r="D31" s="1" t="s">
        <v>2393</v>
      </c>
      <c r="E31" s="1" t="s">
        <v>2378</v>
      </c>
      <c r="F31" s="1" t="s">
        <v>2402</v>
      </c>
      <c r="G31" s="1" t="s">
        <v>2380</v>
      </c>
    </row>
    <row r="32" customFormat="false" ht="14.25" hidden="false" customHeight="false" outlineLevel="0" collapsed="false">
      <c r="A32" s="100"/>
      <c r="B32" s="1" t="s">
        <v>2381</v>
      </c>
      <c r="C32" s="1" t="s">
        <v>2376</v>
      </c>
      <c r="D32" s="1" t="s">
        <v>2377</v>
      </c>
      <c r="E32" s="1" t="s">
        <v>2378</v>
      </c>
      <c r="F32" s="1" t="s">
        <v>2403</v>
      </c>
      <c r="G32" s="1" t="s">
        <v>2380</v>
      </c>
    </row>
    <row r="33" customFormat="false" ht="14.25" hidden="false" customHeight="false" outlineLevel="0" collapsed="false">
      <c r="A33" s="100"/>
      <c r="B33" s="1" t="s">
        <v>138</v>
      </c>
      <c r="C33" s="1" t="s">
        <v>2404</v>
      </c>
      <c r="D33" s="1" t="s">
        <v>2405</v>
      </c>
      <c r="E33" s="1" t="s">
        <v>2406</v>
      </c>
      <c r="F33" s="1" t="s">
        <v>2407</v>
      </c>
      <c r="G33" s="1" t="s">
        <v>2380</v>
      </c>
    </row>
    <row r="34" customFormat="false" ht="14.25" hidden="false" customHeight="false" outlineLevel="0" collapsed="false">
      <c r="A34" s="100"/>
      <c r="B34" s="1" t="s">
        <v>2382</v>
      </c>
      <c r="C34" s="1" t="s">
        <v>2376</v>
      </c>
      <c r="D34" s="1" t="s">
        <v>2377</v>
      </c>
      <c r="E34" s="1" t="s">
        <v>2378</v>
      </c>
      <c r="F34" s="1" t="s">
        <v>2408</v>
      </c>
      <c r="G34" s="1" t="s">
        <v>2380</v>
      </c>
    </row>
    <row r="35" customFormat="false" ht="14.25" hidden="false" customHeight="false" outlineLevel="0" collapsed="false">
      <c r="A35" s="100" t="s">
        <v>230</v>
      </c>
      <c r="B35" s="1" t="s">
        <v>115</v>
      </c>
      <c r="C35" s="1" t="s">
        <v>2376</v>
      </c>
      <c r="D35" s="1" t="s">
        <v>2393</v>
      </c>
      <c r="E35" s="1" t="s">
        <v>2378</v>
      </c>
      <c r="F35" s="1" t="s">
        <v>2409</v>
      </c>
      <c r="G35" s="1" t="s">
        <v>2380</v>
      </c>
    </row>
    <row r="36" customFormat="false" ht="14.25" hidden="false" customHeight="false" outlineLevel="0" collapsed="false">
      <c r="A36" s="100"/>
      <c r="B36" s="1" t="s">
        <v>2381</v>
      </c>
      <c r="C36" s="1" t="s">
        <v>2376</v>
      </c>
      <c r="D36" s="1" t="s">
        <v>2377</v>
      </c>
      <c r="E36" s="1" t="s">
        <v>2378</v>
      </c>
      <c r="F36" s="1" t="s">
        <v>2410</v>
      </c>
      <c r="G36" s="1" t="s">
        <v>2380</v>
      </c>
    </row>
    <row r="37" customFormat="false" ht="14.25" hidden="false" customHeight="false" outlineLevel="0" collapsed="false">
      <c r="A37" s="100"/>
      <c r="B37" s="1" t="s">
        <v>138</v>
      </c>
      <c r="C37" s="1" t="s">
        <v>2376</v>
      </c>
      <c r="D37" s="1" t="s">
        <v>2377</v>
      </c>
      <c r="E37" s="1" t="s">
        <v>2378</v>
      </c>
      <c r="F37" s="1" t="s">
        <v>2411</v>
      </c>
      <c r="G37" s="1" t="s">
        <v>2380</v>
      </c>
    </row>
    <row r="38" customFormat="false" ht="14.25" hidden="false" customHeight="false" outlineLevel="0" collapsed="false">
      <c r="A38" s="100"/>
      <c r="B38" s="1" t="s">
        <v>2382</v>
      </c>
      <c r="C38" s="1" t="s">
        <v>2376</v>
      </c>
      <c r="D38" s="1" t="s">
        <v>2377</v>
      </c>
      <c r="E38" s="1" t="s">
        <v>2378</v>
      </c>
      <c r="F38" s="1" t="s">
        <v>2412</v>
      </c>
      <c r="G38" s="1" t="s">
        <v>2380</v>
      </c>
    </row>
    <row r="39" customFormat="false" ht="14.25" hidden="false" customHeight="false" outlineLevel="0" collapsed="false">
      <c r="A39" s="100" t="s">
        <v>2413</v>
      </c>
      <c r="B39" s="1" t="s">
        <v>115</v>
      </c>
      <c r="C39" s="1" t="s">
        <v>2376</v>
      </c>
      <c r="D39" s="1" t="s">
        <v>2377</v>
      </c>
      <c r="E39" s="1" t="s">
        <v>2378</v>
      </c>
      <c r="F39" s="1" t="s">
        <v>2414</v>
      </c>
      <c r="G39" s="1" t="s">
        <v>2380</v>
      </c>
    </row>
    <row r="40" customFormat="false" ht="14.25" hidden="false" customHeight="false" outlineLevel="0" collapsed="false">
      <c r="A40" s="100"/>
      <c r="B40" s="1" t="s">
        <v>2381</v>
      </c>
      <c r="C40" s="1" t="s">
        <v>2376</v>
      </c>
      <c r="D40" s="1" t="s">
        <v>2377</v>
      </c>
      <c r="E40" s="1" t="s">
        <v>2378</v>
      </c>
      <c r="F40" s="1" t="s">
        <v>2414</v>
      </c>
      <c r="G40" s="1" t="s">
        <v>2380</v>
      </c>
    </row>
    <row r="41" customFormat="false" ht="14.25" hidden="false" customHeight="false" outlineLevel="0" collapsed="false">
      <c r="A41" s="100"/>
      <c r="B41" s="1" t="s">
        <v>138</v>
      </c>
      <c r="C41" s="1" t="s">
        <v>2376</v>
      </c>
      <c r="D41" s="1" t="s">
        <v>2377</v>
      </c>
      <c r="E41" s="1" t="s">
        <v>2378</v>
      </c>
      <c r="F41" s="1" t="s">
        <v>2414</v>
      </c>
      <c r="G41" s="1" t="s">
        <v>2380</v>
      </c>
    </row>
    <row r="42" customFormat="false" ht="14.25" hidden="false" customHeight="false" outlineLevel="0" collapsed="false">
      <c r="A42" s="100"/>
      <c r="B42" s="1" t="s">
        <v>2382</v>
      </c>
      <c r="C42" s="1" t="s">
        <v>2376</v>
      </c>
      <c r="D42" s="1" t="s">
        <v>2377</v>
      </c>
      <c r="E42" s="1" t="s">
        <v>2378</v>
      </c>
      <c r="F42" s="1" t="s">
        <v>2414</v>
      </c>
      <c r="G42" s="1" t="s">
        <v>2380</v>
      </c>
    </row>
    <row r="43" customFormat="false" ht="14.25" hidden="false" customHeight="false" outlineLevel="0" collapsed="false">
      <c r="A43" s="100" t="s">
        <v>1328</v>
      </c>
      <c r="B43" s="1" t="s">
        <v>115</v>
      </c>
      <c r="C43" s="1" t="s">
        <v>2376</v>
      </c>
      <c r="D43" s="1" t="s">
        <v>2377</v>
      </c>
      <c r="E43" s="1" t="s">
        <v>2378</v>
      </c>
      <c r="F43" s="1" t="s">
        <v>2415</v>
      </c>
      <c r="G43" s="1" t="s">
        <v>2380</v>
      </c>
    </row>
    <row r="44" customFormat="false" ht="14.25" hidden="false" customHeight="false" outlineLevel="0" collapsed="false">
      <c r="A44" s="100"/>
      <c r="B44" s="1" t="s">
        <v>2381</v>
      </c>
      <c r="C44" s="1" t="s">
        <v>2376</v>
      </c>
      <c r="D44" s="1" t="s">
        <v>2377</v>
      </c>
      <c r="E44" s="1" t="s">
        <v>2378</v>
      </c>
      <c r="F44" s="1" t="s">
        <v>2416</v>
      </c>
      <c r="G44" s="1" t="s">
        <v>2380</v>
      </c>
    </row>
    <row r="45" customFormat="false" ht="14.25" hidden="false" customHeight="false" outlineLevel="0" collapsed="false">
      <c r="A45" s="100"/>
      <c r="B45" s="1" t="s">
        <v>138</v>
      </c>
      <c r="C45" s="1" t="s">
        <v>2376</v>
      </c>
      <c r="D45" s="1" t="s">
        <v>2377</v>
      </c>
      <c r="E45" s="1" t="s">
        <v>2378</v>
      </c>
      <c r="F45" s="1" t="s">
        <v>2417</v>
      </c>
      <c r="G45" s="1" t="s">
        <v>2380</v>
      </c>
    </row>
    <row r="46" customFormat="false" ht="14.25" hidden="false" customHeight="false" outlineLevel="0" collapsed="false">
      <c r="A46" s="100"/>
      <c r="B46" s="1" t="s">
        <v>2382</v>
      </c>
      <c r="C46" s="1" t="s">
        <v>2376</v>
      </c>
      <c r="D46" s="1" t="s">
        <v>2377</v>
      </c>
      <c r="E46" s="1" t="s">
        <v>2378</v>
      </c>
      <c r="F46" s="1" t="s">
        <v>2418</v>
      </c>
      <c r="G46" s="1" t="s">
        <v>2380</v>
      </c>
    </row>
    <row r="47" customFormat="false" ht="14.25" hidden="false" customHeight="false" outlineLevel="0" collapsed="false">
      <c r="A47" s="100" t="s">
        <v>1402</v>
      </c>
      <c r="B47" s="1" t="s">
        <v>115</v>
      </c>
      <c r="C47" s="1" t="s">
        <v>2376</v>
      </c>
      <c r="D47" s="1" t="s">
        <v>2377</v>
      </c>
      <c r="E47" s="1" t="s">
        <v>2378</v>
      </c>
      <c r="F47" s="1" t="s">
        <v>2419</v>
      </c>
      <c r="G47" s="1" t="s">
        <v>2380</v>
      </c>
    </row>
    <row r="48" customFormat="false" ht="14.25" hidden="false" customHeight="false" outlineLevel="0" collapsed="false">
      <c r="A48" s="100"/>
      <c r="B48" s="1" t="s">
        <v>2381</v>
      </c>
      <c r="C48" s="1" t="s">
        <v>2376</v>
      </c>
      <c r="D48" s="1" t="s">
        <v>2377</v>
      </c>
      <c r="E48" s="1" t="s">
        <v>2378</v>
      </c>
      <c r="F48" s="1" t="s">
        <v>2419</v>
      </c>
      <c r="G48" s="1" t="s">
        <v>2380</v>
      </c>
    </row>
    <row r="49" customFormat="false" ht="14.25" hidden="false" customHeight="false" outlineLevel="0" collapsed="false">
      <c r="A49" s="100"/>
      <c r="B49" s="1" t="s">
        <v>138</v>
      </c>
      <c r="C49" s="1" t="s">
        <v>2376</v>
      </c>
      <c r="D49" s="1" t="s">
        <v>2377</v>
      </c>
      <c r="E49" s="1" t="s">
        <v>2378</v>
      </c>
      <c r="F49" s="1" t="s">
        <v>2419</v>
      </c>
      <c r="G49" s="1" t="s">
        <v>2380</v>
      </c>
    </row>
    <row r="50" customFormat="false" ht="14.25" hidden="false" customHeight="false" outlineLevel="0" collapsed="false">
      <c r="A50" s="100"/>
      <c r="B50" s="1" t="s">
        <v>2382</v>
      </c>
      <c r="C50" s="1" t="s">
        <v>2376</v>
      </c>
      <c r="D50" s="1" t="s">
        <v>2377</v>
      </c>
      <c r="E50" s="1" t="s">
        <v>2378</v>
      </c>
      <c r="F50" s="1" t="s">
        <v>2419</v>
      </c>
      <c r="G50" s="1" t="s">
        <v>2380</v>
      </c>
    </row>
    <row r="51" customFormat="false" ht="14.25" hidden="false" customHeight="false" outlineLevel="0" collapsed="false">
      <c r="A51" s="100" t="s">
        <v>49</v>
      </c>
      <c r="B51" s="1" t="s">
        <v>115</v>
      </c>
      <c r="C51" s="1" t="s">
        <v>2376</v>
      </c>
      <c r="D51" s="1" t="s">
        <v>2377</v>
      </c>
      <c r="E51" s="1" t="s">
        <v>2420</v>
      </c>
      <c r="F51" s="1" t="s">
        <v>2421</v>
      </c>
      <c r="G51" s="1" t="s">
        <v>2380</v>
      </c>
    </row>
    <row r="52" customFormat="false" ht="14.25" hidden="false" customHeight="false" outlineLevel="0" collapsed="false">
      <c r="A52" s="100"/>
      <c r="B52" s="1" t="s">
        <v>2381</v>
      </c>
      <c r="C52" s="1" t="s">
        <v>2376</v>
      </c>
      <c r="D52" s="1" t="s">
        <v>2377</v>
      </c>
      <c r="E52" s="1" t="s">
        <v>2420</v>
      </c>
      <c r="F52" s="1" t="s">
        <v>2421</v>
      </c>
      <c r="G52" s="1" t="s">
        <v>2380</v>
      </c>
    </row>
    <row r="53" customFormat="false" ht="14.25" hidden="false" customHeight="false" outlineLevel="0" collapsed="false">
      <c r="A53" s="100"/>
      <c r="B53" s="1" t="s">
        <v>138</v>
      </c>
      <c r="C53" s="1" t="s">
        <v>2376</v>
      </c>
      <c r="D53" s="1" t="s">
        <v>2377</v>
      </c>
      <c r="E53" s="1" t="s">
        <v>2420</v>
      </c>
      <c r="F53" s="1" t="s">
        <v>2421</v>
      </c>
      <c r="G53" s="1" t="s">
        <v>2380</v>
      </c>
    </row>
    <row r="54" customFormat="false" ht="14.25" hidden="false" customHeight="false" outlineLevel="0" collapsed="false">
      <c r="A54" s="100"/>
      <c r="B54" s="1" t="s">
        <v>2382</v>
      </c>
      <c r="C54" s="1" t="s">
        <v>2376</v>
      </c>
      <c r="D54" s="1" t="s">
        <v>2377</v>
      </c>
      <c r="E54" s="1" t="s">
        <v>2420</v>
      </c>
      <c r="F54" s="1" t="s">
        <v>2421</v>
      </c>
      <c r="G54" s="1" t="s">
        <v>2380</v>
      </c>
    </row>
    <row r="55" customFormat="false" ht="14.25" hidden="false" customHeight="false" outlineLevel="0" collapsed="false">
      <c r="A55" s="100" t="s">
        <v>127</v>
      </c>
      <c r="B55" s="1" t="s">
        <v>115</v>
      </c>
      <c r="C55" s="1" t="s">
        <v>2376</v>
      </c>
      <c r="D55" s="1" t="s">
        <v>2377</v>
      </c>
      <c r="E55" s="1" t="s">
        <v>2378</v>
      </c>
      <c r="F55" s="1" t="s">
        <v>2422</v>
      </c>
      <c r="G55" s="1" t="s">
        <v>2380</v>
      </c>
    </row>
    <row r="56" customFormat="false" ht="14.25" hidden="false" customHeight="false" outlineLevel="0" collapsed="false">
      <c r="A56" s="100"/>
      <c r="B56" s="1" t="s">
        <v>2381</v>
      </c>
      <c r="C56" s="1" t="s">
        <v>2376</v>
      </c>
      <c r="D56" s="1" t="s">
        <v>2377</v>
      </c>
      <c r="E56" s="1" t="s">
        <v>2378</v>
      </c>
      <c r="F56" s="1" t="s">
        <v>2422</v>
      </c>
      <c r="G56" s="1" t="s">
        <v>2380</v>
      </c>
    </row>
    <row r="57" customFormat="false" ht="14.25" hidden="false" customHeight="false" outlineLevel="0" collapsed="false">
      <c r="A57" s="100"/>
      <c r="B57" s="1" t="s">
        <v>138</v>
      </c>
      <c r="C57" s="1" t="s">
        <v>2376</v>
      </c>
      <c r="D57" s="1" t="s">
        <v>2377</v>
      </c>
      <c r="E57" s="1" t="s">
        <v>2378</v>
      </c>
      <c r="F57" s="1" t="s">
        <v>2422</v>
      </c>
      <c r="G57" s="1" t="s">
        <v>2380</v>
      </c>
    </row>
    <row r="58" customFormat="false" ht="14.25" hidden="false" customHeight="false" outlineLevel="0" collapsed="false">
      <c r="A58" s="100"/>
      <c r="B58" s="1" t="s">
        <v>2382</v>
      </c>
      <c r="C58" s="1" t="s">
        <v>2376</v>
      </c>
      <c r="D58" s="1" t="s">
        <v>2377</v>
      </c>
      <c r="E58" s="1" t="s">
        <v>2378</v>
      </c>
      <c r="F58" s="1" t="s">
        <v>2422</v>
      </c>
      <c r="G58" s="1" t="s">
        <v>2380</v>
      </c>
    </row>
    <row r="59" customFormat="false" ht="14.25" hidden="false" customHeight="false" outlineLevel="0" collapsed="false">
      <c r="A59" s="100" t="s">
        <v>164</v>
      </c>
      <c r="B59" s="1" t="s">
        <v>115</v>
      </c>
      <c r="C59" s="1" t="s">
        <v>2376</v>
      </c>
      <c r="D59" s="1" t="s">
        <v>2377</v>
      </c>
      <c r="E59" s="1" t="s">
        <v>2378</v>
      </c>
      <c r="F59" s="1" t="s">
        <v>2423</v>
      </c>
      <c r="G59" s="1" t="s">
        <v>2380</v>
      </c>
    </row>
    <row r="60" customFormat="false" ht="14.25" hidden="false" customHeight="false" outlineLevel="0" collapsed="false">
      <c r="A60" s="100"/>
      <c r="B60" s="1" t="s">
        <v>2381</v>
      </c>
      <c r="C60" s="1" t="s">
        <v>2376</v>
      </c>
      <c r="D60" s="1" t="s">
        <v>2377</v>
      </c>
      <c r="E60" s="1" t="s">
        <v>2378</v>
      </c>
      <c r="F60" s="1" t="s">
        <v>2424</v>
      </c>
      <c r="G60" s="1" t="s">
        <v>2380</v>
      </c>
    </row>
    <row r="61" customFormat="false" ht="14.25" hidden="false" customHeight="false" outlineLevel="0" collapsed="false">
      <c r="A61" s="100"/>
      <c r="B61" s="1" t="s">
        <v>138</v>
      </c>
      <c r="C61" s="1" t="s">
        <v>2376</v>
      </c>
      <c r="D61" s="1" t="s">
        <v>2377</v>
      </c>
      <c r="E61" s="1" t="s">
        <v>2378</v>
      </c>
      <c r="F61" s="1" t="s">
        <v>2425</v>
      </c>
      <c r="G61" s="1" t="s">
        <v>2380</v>
      </c>
    </row>
    <row r="62" customFormat="false" ht="14.25" hidden="false" customHeight="false" outlineLevel="0" collapsed="false">
      <c r="A62" s="100"/>
      <c r="B62" s="1" t="s">
        <v>2382</v>
      </c>
      <c r="C62" s="1" t="s">
        <v>2376</v>
      </c>
      <c r="D62" s="1" t="s">
        <v>2377</v>
      </c>
      <c r="E62" s="1" t="s">
        <v>2378</v>
      </c>
      <c r="F62" s="1" t="s">
        <v>2426</v>
      </c>
      <c r="G62" s="1" t="s">
        <v>2380</v>
      </c>
    </row>
    <row r="63" customFormat="false" ht="14.25" hidden="false" customHeight="false" outlineLevel="0" collapsed="false">
      <c r="A63" s="100" t="s">
        <v>226</v>
      </c>
      <c r="B63" s="1" t="s">
        <v>115</v>
      </c>
      <c r="C63" s="1" t="s">
        <v>2376</v>
      </c>
      <c r="D63" s="1" t="s">
        <v>2377</v>
      </c>
      <c r="E63" s="1" t="s">
        <v>2378</v>
      </c>
      <c r="F63" s="1" t="s">
        <v>2427</v>
      </c>
      <c r="G63" s="1" t="s">
        <v>2380</v>
      </c>
    </row>
    <row r="64" customFormat="false" ht="14.25" hidden="false" customHeight="false" outlineLevel="0" collapsed="false">
      <c r="A64" s="100"/>
      <c r="B64" s="1" t="s">
        <v>2381</v>
      </c>
      <c r="C64" s="1" t="s">
        <v>2376</v>
      </c>
      <c r="D64" s="1" t="s">
        <v>2377</v>
      </c>
      <c r="E64" s="1" t="s">
        <v>2378</v>
      </c>
      <c r="F64" s="1" t="s">
        <v>2428</v>
      </c>
      <c r="G64" s="1" t="s">
        <v>2380</v>
      </c>
    </row>
    <row r="65" customFormat="false" ht="14.25" hidden="false" customHeight="false" outlineLevel="0" collapsed="false">
      <c r="A65" s="100"/>
      <c r="B65" s="1" t="s">
        <v>138</v>
      </c>
      <c r="C65" s="1" t="s">
        <v>2376</v>
      </c>
      <c r="D65" s="1" t="s">
        <v>2377</v>
      </c>
      <c r="E65" s="1" t="s">
        <v>2378</v>
      </c>
      <c r="F65" s="1" t="s">
        <v>2429</v>
      </c>
      <c r="G65" s="1" t="s">
        <v>2380</v>
      </c>
    </row>
    <row r="66" customFormat="false" ht="14.25" hidden="false" customHeight="false" outlineLevel="0" collapsed="false">
      <c r="A66" s="100"/>
      <c r="B66" s="1" t="s">
        <v>2382</v>
      </c>
      <c r="C66" s="1" t="s">
        <v>2376</v>
      </c>
      <c r="D66" s="1" t="s">
        <v>2377</v>
      </c>
      <c r="E66" s="1" t="s">
        <v>2378</v>
      </c>
      <c r="F66" s="1" t="s">
        <v>2430</v>
      </c>
      <c r="G66" s="1" t="s">
        <v>2380</v>
      </c>
    </row>
  </sheetData>
  <mergeCells count="16">
    <mergeCell ref="A3:A6"/>
    <mergeCell ref="A7:A10"/>
    <mergeCell ref="A11:A14"/>
    <mergeCell ref="A15:A18"/>
    <mergeCell ref="A19:A22"/>
    <mergeCell ref="A23:A26"/>
    <mergeCell ref="A27:A30"/>
    <mergeCell ref="A31:A34"/>
    <mergeCell ref="A35:A38"/>
    <mergeCell ref="A39:A42"/>
    <mergeCell ref="A43:A46"/>
    <mergeCell ref="A47:A50"/>
    <mergeCell ref="A51:A54"/>
    <mergeCell ref="A55:A58"/>
    <mergeCell ref="A59:A62"/>
    <mergeCell ref="A63:A66"/>
  </mergeCells>
  <conditionalFormatting sqref="A2:G2">
    <cfRule type="duplicateValues" priority="2" aboveAverage="0" equalAverage="0" bottom="0" percent="0" rank="0" text="" dxfId="128"/>
  </conditionalFormatting>
  <conditionalFormatting sqref="D2">
    <cfRule type="duplicateValues" priority="3" aboveAverage="0" equalAverage="0" bottom="0" percent="0" rank="0" text="" dxfId="129"/>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2" activeCellId="1" sqref="4:8 A2"/>
    </sheetView>
  </sheetViews>
  <sheetFormatPr defaultColWidth="8.72265625" defaultRowHeight="14.25" zeroHeight="false" outlineLevelRow="0" outlineLevelCol="0"/>
  <cols>
    <col collapsed="false" customWidth="true" hidden="false" outlineLevel="0" max="1" min="1" style="1" width="16"/>
    <col collapsed="false" customWidth="true" hidden="false" outlineLevel="0" max="2" min="2" style="1" width="52.37"/>
    <col collapsed="false" customWidth="false" hidden="false" outlineLevel="0" max="14" min="3" style="77" width="8.72"/>
    <col collapsed="false" customWidth="false" hidden="true" outlineLevel="0" max="1024" min="15" style="77" width="8.72"/>
  </cols>
  <sheetData>
    <row r="1" customFormat="false" ht="45" hidden="false" customHeight="true" outlineLevel="0" collapsed="false"/>
    <row r="2" customFormat="false" ht="14.25" hidden="false" customHeight="false" outlineLevel="0" collapsed="false">
      <c r="A2" s="31" t="s">
        <v>2431</v>
      </c>
      <c r="B2" s="31" t="s">
        <v>2432</v>
      </c>
      <c r="C2" s="101"/>
    </row>
    <row r="3" customFormat="false" ht="14.25" hidden="false" customHeight="false" outlineLevel="0" collapsed="false">
      <c r="A3" s="102" t="s">
        <v>2433</v>
      </c>
      <c r="B3" s="102" t="s">
        <v>2434</v>
      </c>
      <c r="C3" s="101"/>
    </row>
    <row r="4" customFormat="false" ht="14.25" hidden="false" customHeight="false" outlineLevel="0" collapsed="false">
      <c r="A4" s="102" t="s">
        <v>2433</v>
      </c>
      <c r="B4" s="102" t="s">
        <v>2435</v>
      </c>
      <c r="C4" s="101"/>
    </row>
    <row r="5" customFormat="false" ht="14.25" hidden="false" customHeight="false" outlineLevel="0" collapsed="false">
      <c r="A5" s="102" t="s">
        <v>2433</v>
      </c>
      <c r="B5" s="102" t="s">
        <v>2436</v>
      </c>
      <c r="C5" s="101"/>
    </row>
    <row r="6" customFormat="false" ht="14.25" hidden="false" customHeight="false" outlineLevel="0" collapsed="false">
      <c r="A6" s="102" t="s">
        <v>2433</v>
      </c>
      <c r="B6" s="102" t="s">
        <v>2437</v>
      </c>
      <c r="C6" s="101"/>
    </row>
    <row r="7" customFormat="false" ht="14.25" hidden="false" customHeight="false" outlineLevel="0" collapsed="false">
      <c r="A7" s="102" t="s">
        <v>2433</v>
      </c>
      <c r="B7" s="102" t="s">
        <v>2438</v>
      </c>
      <c r="C7" s="101"/>
    </row>
    <row r="8" customFormat="false" ht="14.25" hidden="false" customHeight="false" outlineLevel="0" collapsed="false">
      <c r="A8" s="102" t="s">
        <v>2439</v>
      </c>
      <c r="B8" s="102" t="s">
        <v>2440</v>
      </c>
      <c r="C8" s="101"/>
    </row>
    <row r="9" customFormat="false" ht="14.25" hidden="false" customHeight="false" outlineLevel="0" collapsed="false">
      <c r="A9" s="102" t="s">
        <v>2439</v>
      </c>
      <c r="B9" s="102" t="s">
        <v>2441</v>
      </c>
      <c r="C9" s="101"/>
    </row>
    <row r="10" customFormat="false" ht="14.25" hidden="false" customHeight="false" outlineLevel="0" collapsed="false">
      <c r="A10" s="102" t="s">
        <v>2439</v>
      </c>
      <c r="B10" s="102" t="s">
        <v>2442</v>
      </c>
      <c r="C10" s="101"/>
    </row>
    <row r="11" customFormat="false" ht="14.25" hidden="false" customHeight="false" outlineLevel="0" collapsed="false">
      <c r="A11" s="102" t="s">
        <v>2439</v>
      </c>
      <c r="B11" s="102" t="s">
        <v>153</v>
      </c>
      <c r="C11" s="101"/>
    </row>
    <row r="12" customFormat="false" ht="14.25" hidden="false" customHeight="false" outlineLevel="0" collapsed="false">
      <c r="A12" s="102" t="s">
        <v>2439</v>
      </c>
      <c r="B12" s="102" t="s">
        <v>2443</v>
      </c>
      <c r="C12" s="101"/>
    </row>
    <row r="13" customFormat="false" ht="14.25" hidden="false" customHeight="false" outlineLevel="0" collapsed="false">
      <c r="A13" s="102" t="s">
        <v>2439</v>
      </c>
      <c r="B13" s="102" t="s">
        <v>2444</v>
      </c>
      <c r="C13" s="101"/>
    </row>
    <row r="14" customFormat="false" ht="14.25" hidden="false" customHeight="false" outlineLevel="0" collapsed="false">
      <c r="A14" s="102" t="s">
        <v>2439</v>
      </c>
      <c r="B14" s="102" t="s">
        <v>2445</v>
      </c>
      <c r="C14" s="101"/>
    </row>
    <row r="15" customFormat="false" ht="14.25" hidden="false" customHeight="false" outlineLevel="0" collapsed="false">
      <c r="A15" s="102" t="s">
        <v>2439</v>
      </c>
      <c r="B15" s="102" t="s">
        <v>2446</v>
      </c>
      <c r="C15" s="101"/>
    </row>
    <row r="16" customFormat="false" ht="14.25" hidden="false" customHeight="false" outlineLevel="0" collapsed="false">
      <c r="A16" s="102" t="s">
        <v>2439</v>
      </c>
      <c r="B16" s="102" t="s">
        <v>2447</v>
      </c>
      <c r="C16" s="101"/>
    </row>
    <row r="17" customFormat="false" ht="14.25" hidden="false" customHeight="false" outlineLevel="0" collapsed="false">
      <c r="A17" s="102" t="s">
        <v>2439</v>
      </c>
      <c r="B17" s="102" t="s">
        <v>2448</v>
      </c>
      <c r="C17" s="101"/>
    </row>
    <row r="18" customFormat="false" ht="14.25" hidden="false" customHeight="false" outlineLevel="0" collapsed="false">
      <c r="A18" s="102" t="s">
        <v>2439</v>
      </c>
      <c r="B18" s="102" t="s">
        <v>2449</v>
      </c>
      <c r="C18" s="101"/>
    </row>
    <row r="19" customFormat="false" ht="14.25" hidden="false" customHeight="false" outlineLevel="0" collapsed="false">
      <c r="A19" s="102" t="s">
        <v>2439</v>
      </c>
      <c r="B19" s="102" t="s">
        <v>2450</v>
      </c>
      <c r="C19" s="101"/>
    </row>
    <row r="20" customFormat="false" ht="14.25" hidden="false" customHeight="false" outlineLevel="0" collapsed="false">
      <c r="A20" s="102" t="s">
        <v>2439</v>
      </c>
      <c r="B20" s="102" t="s">
        <v>2451</v>
      </c>
      <c r="C20" s="101"/>
    </row>
    <row r="21" customFormat="false" ht="14.25" hidden="false" customHeight="false" outlineLevel="0" collapsed="false">
      <c r="A21" s="102" t="s">
        <v>2439</v>
      </c>
      <c r="B21" s="102" t="s">
        <v>2452</v>
      </c>
      <c r="C21" s="101"/>
    </row>
    <row r="22" customFormat="false" ht="14.25" hidden="false" customHeight="false" outlineLevel="0" collapsed="false">
      <c r="A22" s="102" t="s">
        <v>2439</v>
      </c>
      <c r="B22" s="102" t="s">
        <v>2453</v>
      </c>
      <c r="C22" s="101"/>
    </row>
    <row r="23" customFormat="false" ht="14.25" hidden="false" customHeight="false" outlineLevel="0" collapsed="false">
      <c r="A23" s="102" t="s">
        <v>2439</v>
      </c>
      <c r="B23" s="102" t="s">
        <v>2454</v>
      </c>
      <c r="C23" s="101"/>
    </row>
    <row r="24" customFormat="false" ht="14.25" hidden="false" customHeight="false" outlineLevel="0" collapsed="false">
      <c r="A24" s="102" t="s">
        <v>2439</v>
      </c>
      <c r="B24" s="102" t="s">
        <v>2455</v>
      </c>
      <c r="C24" s="101"/>
    </row>
    <row r="25" customFormat="false" ht="14.25" hidden="false" customHeight="false" outlineLevel="0" collapsed="false">
      <c r="A25" s="102" t="s">
        <v>2439</v>
      </c>
      <c r="B25" s="102" t="s">
        <v>2456</v>
      </c>
      <c r="C25" s="101"/>
    </row>
    <row r="26" customFormat="false" ht="14.25" hidden="false" customHeight="false" outlineLevel="0" collapsed="false">
      <c r="A26" s="102" t="s">
        <v>2439</v>
      </c>
      <c r="B26" s="102" t="s">
        <v>2457</v>
      </c>
      <c r="C26" s="101"/>
    </row>
    <row r="27" customFormat="false" ht="14.25" hidden="false" customHeight="false" outlineLevel="0" collapsed="false">
      <c r="A27" s="102" t="s">
        <v>2439</v>
      </c>
      <c r="B27" s="102" t="s">
        <v>2458</v>
      </c>
      <c r="C27" s="101"/>
    </row>
    <row r="28" customFormat="false" ht="14.25" hidden="false" customHeight="false" outlineLevel="0" collapsed="false">
      <c r="A28" s="102" t="s">
        <v>2439</v>
      </c>
      <c r="B28" s="102" t="s">
        <v>2459</v>
      </c>
      <c r="C28" s="101"/>
    </row>
    <row r="29" customFormat="false" ht="14.25" hidden="false" customHeight="false" outlineLevel="0" collapsed="false">
      <c r="A29" s="102" t="s">
        <v>2439</v>
      </c>
      <c r="B29" s="102" t="s">
        <v>2460</v>
      </c>
      <c r="C29" s="101"/>
    </row>
    <row r="30" customFormat="false" ht="14.25" hidden="false" customHeight="false" outlineLevel="0" collapsed="false">
      <c r="A30" s="102" t="s">
        <v>2439</v>
      </c>
      <c r="B30" s="102" t="s">
        <v>2461</v>
      </c>
      <c r="C30" s="101"/>
    </row>
    <row r="31" customFormat="false" ht="14.25" hidden="false" customHeight="false" outlineLevel="0" collapsed="false">
      <c r="A31" s="102" t="s">
        <v>2439</v>
      </c>
      <c r="B31" s="102" t="s">
        <v>2462</v>
      </c>
      <c r="C31" s="101"/>
    </row>
    <row r="32" customFormat="false" ht="14.25" hidden="false" customHeight="false" outlineLevel="0" collapsed="false">
      <c r="A32" s="102" t="s">
        <v>2439</v>
      </c>
      <c r="B32" s="102" t="s">
        <v>2463</v>
      </c>
      <c r="C32" s="101"/>
    </row>
    <row r="33" customFormat="false" ht="14.25" hidden="false" customHeight="false" outlineLevel="0" collapsed="false">
      <c r="A33" s="102" t="s">
        <v>2439</v>
      </c>
      <c r="B33" s="102" t="s">
        <v>2464</v>
      </c>
      <c r="C33" s="101"/>
    </row>
    <row r="34" customFormat="false" ht="14.25" hidden="false" customHeight="false" outlineLevel="0" collapsed="false">
      <c r="A34" s="102" t="s">
        <v>2439</v>
      </c>
      <c r="B34" s="102" t="s">
        <v>2465</v>
      </c>
      <c r="C34" s="101"/>
    </row>
    <row r="35" customFormat="false" ht="14.25" hidden="false" customHeight="false" outlineLevel="0" collapsed="false">
      <c r="A35" s="102" t="s">
        <v>2439</v>
      </c>
      <c r="B35" s="102" t="s">
        <v>2466</v>
      </c>
      <c r="C35" s="101"/>
    </row>
    <row r="36" customFormat="false" ht="14.25" hidden="false" customHeight="false" outlineLevel="0" collapsed="false">
      <c r="A36" s="102" t="s">
        <v>2439</v>
      </c>
      <c r="B36" s="102" t="s">
        <v>2467</v>
      </c>
      <c r="C36" s="101"/>
    </row>
    <row r="37" customFormat="false" ht="14.25" hidden="false" customHeight="false" outlineLevel="0" collapsed="false">
      <c r="A37" s="102" t="s">
        <v>2439</v>
      </c>
      <c r="B37" s="102" t="s">
        <v>2468</v>
      </c>
      <c r="C37" s="101"/>
    </row>
    <row r="38" customFormat="false" ht="14.25" hidden="false" customHeight="false" outlineLevel="0" collapsed="false">
      <c r="A38" s="102" t="s">
        <v>2439</v>
      </c>
      <c r="B38" s="102" t="s">
        <v>2469</v>
      </c>
      <c r="C38" s="101"/>
    </row>
    <row r="39" customFormat="false" ht="14.25" hidden="false" customHeight="false" outlineLevel="0" collapsed="false">
      <c r="A39" s="102" t="s">
        <v>2439</v>
      </c>
      <c r="B39" s="102" t="s">
        <v>2470</v>
      </c>
      <c r="C39" s="101"/>
    </row>
    <row r="40" customFormat="false" ht="14.25" hidden="false" customHeight="false" outlineLevel="0" collapsed="false">
      <c r="A40" s="102" t="s">
        <v>2439</v>
      </c>
      <c r="B40" s="102" t="s">
        <v>2471</v>
      </c>
      <c r="C40" s="101"/>
    </row>
    <row r="41" customFormat="false" ht="14.25" hidden="false" customHeight="false" outlineLevel="0" collapsed="false">
      <c r="A41" s="102" t="s">
        <v>2439</v>
      </c>
      <c r="B41" s="102" t="s">
        <v>2472</v>
      </c>
      <c r="C41" s="101"/>
    </row>
    <row r="42" customFormat="false" ht="14.25" hidden="false" customHeight="false" outlineLevel="0" collapsed="false">
      <c r="A42" s="102" t="s">
        <v>2439</v>
      </c>
      <c r="B42" s="102" t="s">
        <v>2473</v>
      </c>
      <c r="C42" s="101"/>
    </row>
    <row r="43" customFormat="false" ht="14.25" hidden="false" customHeight="false" outlineLevel="0" collapsed="false">
      <c r="A43" s="102" t="s">
        <v>2439</v>
      </c>
      <c r="B43" s="102" t="s">
        <v>2474</v>
      </c>
      <c r="C43" s="101"/>
    </row>
    <row r="44" customFormat="false" ht="14.25" hidden="false" customHeight="false" outlineLevel="0" collapsed="false">
      <c r="A44" s="102" t="s">
        <v>2439</v>
      </c>
      <c r="B44" s="102" t="s">
        <v>146</v>
      </c>
      <c r="C44" s="101"/>
    </row>
    <row r="45" customFormat="false" ht="14.25" hidden="false" customHeight="false" outlineLevel="0" collapsed="false">
      <c r="A45" s="102" t="s">
        <v>2439</v>
      </c>
      <c r="B45" s="102" t="s">
        <v>2475</v>
      </c>
      <c r="C45" s="101"/>
    </row>
    <row r="46" customFormat="false" ht="14.25" hidden="false" customHeight="false" outlineLevel="0" collapsed="false">
      <c r="A46" s="102" t="s">
        <v>2439</v>
      </c>
      <c r="B46" s="102" t="s">
        <v>2476</v>
      </c>
      <c r="C46" s="101"/>
    </row>
    <row r="47" customFormat="false" ht="14.25" hidden="false" customHeight="false" outlineLevel="0" collapsed="false">
      <c r="A47" s="102" t="s">
        <v>2439</v>
      </c>
      <c r="B47" s="102" t="s">
        <v>2477</v>
      </c>
      <c r="C47" s="101"/>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D4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C16" activeCellId="1" sqref="4:8 C16"/>
    </sheetView>
  </sheetViews>
  <sheetFormatPr defaultColWidth="8.72265625" defaultRowHeight="14.25" zeroHeight="false" outlineLevelRow="0" outlineLevelCol="0"/>
  <cols>
    <col collapsed="false" customWidth="true" hidden="false" outlineLevel="0" max="1" min="1" style="1" width="52.37"/>
    <col collapsed="false" customWidth="true" hidden="false" outlineLevel="0" max="2" min="2" style="1" width="41.18"/>
    <col collapsed="false" customWidth="true" hidden="false" outlineLevel="0" max="3" min="3" style="1" width="145.72"/>
    <col collapsed="false" customWidth="true" hidden="false" outlineLevel="0" max="4" min="4" style="1" width="103.54"/>
    <col collapsed="false" customWidth="false" hidden="true" outlineLevel="0" max="1024" min="5" style="1" width="8.72"/>
  </cols>
  <sheetData>
    <row r="1" customFormat="false" ht="45" hidden="false" customHeight="true" outlineLevel="0" collapsed="false"/>
    <row r="2" customFormat="false" ht="14.25" hidden="false" customHeight="false" outlineLevel="0" collapsed="false">
      <c r="A2" s="31" t="s">
        <v>2372</v>
      </c>
      <c r="B2" s="31" t="s">
        <v>2372</v>
      </c>
      <c r="C2" s="31" t="s">
        <v>2478</v>
      </c>
      <c r="D2" s="31" t="s">
        <v>2479</v>
      </c>
    </row>
    <row r="3" customFormat="false" ht="14.25" hidden="false" customHeight="false" outlineLevel="0" collapsed="false">
      <c r="A3" s="103" t="s">
        <v>2480</v>
      </c>
      <c r="B3" s="103" t="s">
        <v>2480</v>
      </c>
      <c r="C3" s="104" t="s">
        <v>2481</v>
      </c>
      <c r="D3" s="105"/>
    </row>
    <row r="4" customFormat="false" ht="14.25" hidden="false" customHeight="false" outlineLevel="0" collapsed="false">
      <c r="A4" s="102" t="s">
        <v>2440</v>
      </c>
      <c r="B4" s="103" t="s">
        <v>2482</v>
      </c>
      <c r="C4" s="106" t="s">
        <v>2483</v>
      </c>
      <c r="D4" s="104" t="s">
        <v>2484</v>
      </c>
    </row>
    <row r="5" customFormat="false" ht="14.25" hidden="false" customHeight="false" outlineLevel="0" collapsed="false">
      <c r="A5" s="103" t="s">
        <v>2485</v>
      </c>
      <c r="B5" s="103" t="s">
        <v>2485</v>
      </c>
      <c r="C5" s="104" t="s">
        <v>2486</v>
      </c>
      <c r="D5" s="105"/>
    </row>
    <row r="6" customFormat="false" ht="14.25" hidden="false" customHeight="false" outlineLevel="0" collapsed="false">
      <c r="A6" s="103" t="s">
        <v>126</v>
      </c>
      <c r="B6" s="103" t="s">
        <v>2487</v>
      </c>
      <c r="C6" s="104" t="s">
        <v>2488</v>
      </c>
      <c r="D6" s="105"/>
    </row>
    <row r="7" customFormat="false" ht="14.25" hidden="false" customHeight="false" outlineLevel="0" collapsed="false">
      <c r="A7" s="102" t="s">
        <v>2442</v>
      </c>
      <c r="B7" s="107" t="s">
        <v>2489</v>
      </c>
      <c r="C7" s="104" t="s">
        <v>2490</v>
      </c>
      <c r="D7" s="104" t="s">
        <v>2491</v>
      </c>
    </row>
    <row r="8" customFormat="false" ht="14.25" hidden="false" customHeight="false" outlineLevel="0" collapsed="false">
      <c r="A8" s="102" t="s">
        <v>153</v>
      </c>
      <c r="B8" s="103" t="s">
        <v>2492</v>
      </c>
      <c r="C8" s="104" t="s">
        <v>2493</v>
      </c>
      <c r="D8" s="104" t="s">
        <v>2494</v>
      </c>
    </row>
    <row r="9" customFormat="false" ht="14.25" hidden="false" customHeight="false" outlineLevel="0" collapsed="false">
      <c r="A9" s="102" t="s">
        <v>2443</v>
      </c>
      <c r="B9" s="103" t="s">
        <v>2495</v>
      </c>
      <c r="C9" s="104" t="s">
        <v>2496</v>
      </c>
      <c r="D9" s="104" t="s">
        <v>2497</v>
      </c>
    </row>
    <row r="10" customFormat="false" ht="14.25" hidden="false" customHeight="false" outlineLevel="0" collapsed="false">
      <c r="A10" s="102" t="s">
        <v>2435</v>
      </c>
      <c r="B10" s="107" t="s">
        <v>2498</v>
      </c>
      <c r="C10" s="104" t="s">
        <v>2499</v>
      </c>
      <c r="D10" s="104" t="s">
        <v>2500</v>
      </c>
    </row>
    <row r="11" customFormat="false" ht="14.25" hidden="false" customHeight="false" outlineLevel="0" collapsed="false">
      <c r="A11" s="108" t="s">
        <v>2436</v>
      </c>
      <c r="B11" s="103" t="s">
        <v>2501</v>
      </c>
      <c r="C11" s="106" t="s">
        <v>2502</v>
      </c>
      <c r="D11" s="106" t="s">
        <v>2503</v>
      </c>
    </row>
    <row r="12" customFormat="false" ht="14.25" hidden="false" customHeight="false" outlineLevel="0" collapsed="false">
      <c r="A12" s="103" t="s">
        <v>2504</v>
      </c>
      <c r="B12" s="103" t="s">
        <v>2504</v>
      </c>
      <c r="C12" s="104" t="s">
        <v>2505</v>
      </c>
      <c r="D12" s="105"/>
    </row>
    <row r="13" customFormat="false" ht="14.25" hidden="false" customHeight="false" outlineLevel="0" collapsed="false">
      <c r="A13" s="102" t="s">
        <v>2447</v>
      </c>
      <c r="B13" s="107" t="s">
        <v>2506</v>
      </c>
      <c r="C13" s="104" t="s">
        <v>2507</v>
      </c>
      <c r="D13" s="104" t="s">
        <v>2508</v>
      </c>
    </row>
    <row r="14" customFormat="false" ht="14.25" hidden="false" customHeight="false" outlineLevel="0" collapsed="false">
      <c r="A14" s="102" t="s">
        <v>2509</v>
      </c>
      <c r="B14" s="107" t="s">
        <v>2510</v>
      </c>
      <c r="C14" s="104" t="s">
        <v>2511</v>
      </c>
      <c r="D14" s="104" t="s">
        <v>2512</v>
      </c>
    </row>
    <row r="15" customFormat="false" ht="14.25" hidden="false" customHeight="false" outlineLevel="0" collapsed="false">
      <c r="A15" s="102" t="s">
        <v>2448</v>
      </c>
      <c r="B15" s="103" t="s">
        <v>2513</v>
      </c>
      <c r="C15" s="104" t="s">
        <v>2514</v>
      </c>
      <c r="D15" s="104" t="s">
        <v>2515</v>
      </c>
    </row>
    <row r="16" customFormat="false" ht="14.25" hidden="false" customHeight="false" outlineLevel="0" collapsed="false">
      <c r="A16" s="102" t="s">
        <v>2450</v>
      </c>
      <c r="B16" s="103" t="s">
        <v>2516</v>
      </c>
      <c r="C16" s="104" t="s">
        <v>2517</v>
      </c>
      <c r="D16" s="104" t="s">
        <v>2518</v>
      </c>
    </row>
    <row r="17" customFormat="false" ht="14.25" hidden="false" customHeight="false" outlineLevel="0" collapsed="false">
      <c r="A17" s="107" t="s">
        <v>162</v>
      </c>
      <c r="B17" s="107" t="s">
        <v>2519</v>
      </c>
      <c r="C17" s="104" t="s">
        <v>2520</v>
      </c>
      <c r="D17" s="105"/>
    </row>
    <row r="18" customFormat="false" ht="14.25" hidden="false" customHeight="false" outlineLevel="0" collapsed="false">
      <c r="A18" s="102" t="s">
        <v>2437</v>
      </c>
      <c r="B18" s="107" t="s">
        <v>2437</v>
      </c>
      <c r="C18" s="104" t="s">
        <v>2521</v>
      </c>
      <c r="D18" s="105"/>
    </row>
    <row r="19" customFormat="false" ht="14.25" hidden="false" customHeight="false" outlineLevel="0" collapsed="false">
      <c r="A19" s="102" t="s">
        <v>2451</v>
      </c>
      <c r="B19" s="107" t="s">
        <v>2522</v>
      </c>
      <c r="C19" s="104" t="s">
        <v>2523</v>
      </c>
      <c r="D19" s="104" t="s">
        <v>2524</v>
      </c>
    </row>
    <row r="20" customFormat="false" ht="14.25" hidden="false" customHeight="false" outlineLevel="0" collapsed="false">
      <c r="A20" s="102" t="s">
        <v>2452</v>
      </c>
      <c r="B20" s="107" t="s">
        <v>2525</v>
      </c>
      <c r="C20" s="104" t="s">
        <v>2526</v>
      </c>
      <c r="D20" s="105"/>
    </row>
    <row r="21" customFormat="false" ht="14.25" hidden="false" customHeight="false" outlineLevel="0" collapsed="false">
      <c r="A21" s="102" t="s">
        <v>2454</v>
      </c>
      <c r="B21" s="107" t="s">
        <v>2527</v>
      </c>
      <c r="C21" s="104" t="s">
        <v>2528</v>
      </c>
      <c r="D21" s="104" t="s">
        <v>2529</v>
      </c>
    </row>
    <row r="22" customFormat="false" ht="14.25" hidden="false" customHeight="false" outlineLevel="0" collapsed="false">
      <c r="A22" s="49" t="s">
        <v>2530</v>
      </c>
      <c r="B22" s="49" t="s">
        <v>2530</v>
      </c>
      <c r="C22" s="104" t="s">
        <v>2531</v>
      </c>
      <c r="D22" s="49"/>
    </row>
    <row r="23" customFormat="false" ht="14.25" hidden="false" customHeight="false" outlineLevel="0" collapsed="false">
      <c r="A23" s="103" t="s">
        <v>2532</v>
      </c>
      <c r="B23" s="103" t="s">
        <v>2532</v>
      </c>
      <c r="C23" s="104" t="s">
        <v>2533</v>
      </c>
      <c r="D23" s="104" t="s">
        <v>2534</v>
      </c>
    </row>
    <row r="24" customFormat="false" ht="14.25" hidden="false" customHeight="false" outlineLevel="0" collapsed="false">
      <c r="A24" s="102" t="s">
        <v>2457</v>
      </c>
      <c r="B24" s="103" t="s">
        <v>2535</v>
      </c>
      <c r="C24" s="104" t="s">
        <v>2536</v>
      </c>
      <c r="D24" s="105"/>
    </row>
    <row r="25" customFormat="false" ht="14.25" hidden="false" customHeight="false" outlineLevel="0" collapsed="false">
      <c r="A25" s="103" t="s">
        <v>2537</v>
      </c>
      <c r="B25" s="103" t="s">
        <v>2537</v>
      </c>
      <c r="C25" s="104" t="s">
        <v>2538</v>
      </c>
      <c r="D25" s="105"/>
    </row>
    <row r="26" customFormat="false" ht="14.25" hidden="false" customHeight="false" outlineLevel="0" collapsed="false">
      <c r="A26" s="102" t="s">
        <v>2459</v>
      </c>
      <c r="B26" s="103" t="s">
        <v>2539</v>
      </c>
      <c r="C26" s="104" t="s">
        <v>2540</v>
      </c>
      <c r="D26" s="104" t="s">
        <v>2541</v>
      </c>
    </row>
    <row r="27" customFormat="false" ht="14.25" hidden="false" customHeight="false" outlineLevel="0" collapsed="false">
      <c r="A27" s="107" t="s">
        <v>2542</v>
      </c>
      <c r="B27" s="107" t="s">
        <v>2542</v>
      </c>
      <c r="C27" s="106" t="s">
        <v>2543</v>
      </c>
      <c r="D27" s="105"/>
    </row>
    <row r="28" customFormat="false" ht="14.25" hidden="false" customHeight="false" outlineLevel="0" collapsed="false">
      <c r="A28" s="102" t="s">
        <v>2462</v>
      </c>
      <c r="B28" s="107" t="s">
        <v>2544</v>
      </c>
      <c r="C28" s="104" t="s">
        <v>2545</v>
      </c>
      <c r="D28" s="105"/>
    </row>
    <row r="29" customFormat="false" ht="14.25" hidden="false" customHeight="false" outlineLevel="0" collapsed="false">
      <c r="A29" s="102" t="s">
        <v>2464</v>
      </c>
      <c r="B29" s="107" t="s">
        <v>2546</v>
      </c>
      <c r="C29" s="109" t="s">
        <v>2547</v>
      </c>
      <c r="D29" s="105"/>
    </row>
    <row r="30" customFormat="false" ht="14.25" hidden="false" customHeight="false" outlineLevel="0" collapsed="false">
      <c r="A30" s="102" t="s">
        <v>2466</v>
      </c>
      <c r="B30" s="103" t="s">
        <v>2548</v>
      </c>
      <c r="C30" s="106" t="s">
        <v>2549</v>
      </c>
      <c r="D30" s="106" t="s">
        <v>2550</v>
      </c>
    </row>
    <row r="31" customFormat="false" ht="14.25" hidden="false" customHeight="false" outlineLevel="0" collapsed="false">
      <c r="A31" s="107" t="s">
        <v>2551</v>
      </c>
      <c r="B31" s="107" t="s">
        <v>2551</v>
      </c>
      <c r="C31" s="104" t="s">
        <v>2552</v>
      </c>
      <c r="D31" s="105"/>
    </row>
    <row r="32" customFormat="false" ht="14.25" hidden="false" customHeight="false" outlineLevel="0" collapsed="false">
      <c r="A32" s="107" t="s">
        <v>2553</v>
      </c>
      <c r="B32" s="107" t="s">
        <v>2553</v>
      </c>
      <c r="C32" s="106" t="s">
        <v>2554</v>
      </c>
      <c r="D32" s="105"/>
    </row>
    <row r="33" customFormat="false" ht="14.25" hidden="false" customHeight="false" outlineLevel="0" collapsed="false">
      <c r="A33" s="103" t="s">
        <v>136</v>
      </c>
      <c r="B33" s="103" t="s">
        <v>136</v>
      </c>
      <c r="C33" s="106" t="s">
        <v>2555</v>
      </c>
      <c r="D33" s="106" t="s">
        <v>2556</v>
      </c>
    </row>
    <row r="34" customFormat="false" ht="14.25" hidden="false" customHeight="false" outlineLevel="0" collapsed="false">
      <c r="A34" s="103" t="s">
        <v>2557</v>
      </c>
      <c r="B34" s="103" t="s">
        <v>2557</v>
      </c>
      <c r="C34" s="104" t="s">
        <v>2558</v>
      </c>
      <c r="D34" s="105"/>
    </row>
    <row r="35" customFormat="false" ht="14.25" hidden="false" customHeight="false" outlineLevel="0" collapsed="false">
      <c r="A35" s="102" t="s">
        <v>2476</v>
      </c>
      <c r="B35" s="103" t="s">
        <v>2559</v>
      </c>
      <c r="C35" s="104" t="s">
        <v>2526</v>
      </c>
      <c r="D35" s="105"/>
    </row>
    <row r="36" customFormat="false" ht="14.25" hidden="false" customHeight="false" outlineLevel="0" collapsed="false">
      <c r="A36" s="102" t="s">
        <v>2477</v>
      </c>
      <c r="B36" s="107" t="s">
        <v>2560</v>
      </c>
      <c r="C36" s="106" t="s">
        <v>2561</v>
      </c>
      <c r="D36" s="105"/>
    </row>
    <row r="37" customFormat="false" ht="14.25" hidden="false" customHeight="false" outlineLevel="0" collapsed="false">
      <c r="A37" s="102" t="s">
        <v>146</v>
      </c>
      <c r="B37" s="102" t="s">
        <v>146</v>
      </c>
      <c r="C37" s="110" t="s">
        <v>2562</v>
      </c>
    </row>
    <row r="38" customFormat="false" ht="14.25" hidden="false" customHeight="false" outlineLevel="0" collapsed="false">
      <c r="A38" s="102" t="s">
        <v>2449</v>
      </c>
      <c r="B38" s="102" t="s">
        <v>2449</v>
      </c>
      <c r="C38" s="111" t="s">
        <v>2563</v>
      </c>
    </row>
    <row r="39" customFormat="false" ht="14.25" hidden="false" customHeight="false" outlineLevel="0" collapsed="false">
      <c r="A39" s="107" t="s">
        <v>97</v>
      </c>
      <c r="B39" s="107" t="s">
        <v>97</v>
      </c>
      <c r="C39" s="104" t="s">
        <v>2564</v>
      </c>
      <c r="D39" s="105"/>
    </row>
    <row r="40" customFormat="false" ht="14.25" hidden="false" customHeight="false" outlineLevel="0" collapsed="false">
      <c r="A40" s="107" t="s">
        <v>2565</v>
      </c>
      <c r="B40" s="107" t="s">
        <v>2565</v>
      </c>
      <c r="C40" s="106" t="s">
        <v>2566</v>
      </c>
      <c r="D40" s="105"/>
    </row>
    <row r="41" customFormat="false" ht="14.25" hidden="false" customHeight="false" outlineLevel="0" collapsed="false">
      <c r="A41" s="107" t="s">
        <v>2567</v>
      </c>
      <c r="B41" s="107" t="s">
        <v>2567</v>
      </c>
      <c r="C41" s="104" t="s">
        <v>2568</v>
      </c>
      <c r="D41" s="105"/>
    </row>
    <row r="42" customFormat="false" ht="14.25" hidden="false" customHeight="false" outlineLevel="0" collapsed="false">
      <c r="A42" s="102" t="s">
        <v>2474</v>
      </c>
      <c r="B42" s="102" t="s">
        <v>2474</v>
      </c>
      <c r="C42" s="111" t="s">
        <v>2569</v>
      </c>
      <c r="D42" s="111" t="s">
        <v>2570</v>
      </c>
    </row>
    <row r="43" customFormat="false" ht="14.25" hidden="false" customHeight="false" outlineLevel="0" collapsed="false">
      <c r="A43" s="102" t="s">
        <v>2468</v>
      </c>
      <c r="B43" s="102" t="s">
        <v>2468</v>
      </c>
      <c r="C43" s="111" t="s">
        <v>2571</v>
      </c>
      <c r="D43" s="111" t="s">
        <v>2572</v>
      </c>
    </row>
    <row r="44" customFormat="false" ht="14.25" hidden="false" customHeight="false" outlineLevel="0" collapsed="false">
      <c r="A44" s="102" t="s">
        <v>2471</v>
      </c>
      <c r="B44" s="102" t="s">
        <v>2471</v>
      </c>
      <c r="C44" s="111" t="s">
        <v>2573</v>
      </c>
      <c r="D44" s="111" t="s">
        <v>2574</v>
      </c>
    </row>
  </sheetData>
  <autoFilter ref="A2:D41"/>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4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2" activeCellId="1" sqref="4:8 A2"/>
    </sheetView>
  </sheetViews>
  <sheetFormatPr defaultColWidth="8.72265625" defaultRowHeight="14.25" zeroHeight="false" outlineLevelRow="0" outlineLevelCol="0"/>
  <cols>
    <col collapsed="false" customWidth="true" hidden="false" outlineLevel="0" max="1" min="1" style="1" width="25.72"/>
    <col collapsed="false" customWidth="true" hidden="false" outlineLevel="0" max="2" min="2" style="1" width="42.27"/>
    <col collapsed="false" customWidth="false" hidden="true" outlineLevel="0" max="1024" min="15" style="1" width="8.72"/>
  </cols>
  <sheetData>
    <row r="1" s="77" customFormat="true" ht="45" hidden="false" customHeight="true" outlineLevel="0" collapsed="false"/>
    <row r="2" customFormat="false" ht="14.25" hidden="false" customHeight="false" outlineLevel="0" collapsed="false">
      <c r="A2" s="112" t="s">
        <v>97</v>
      </c>
      <c r="B2" s="112" t="s">
        <v>96</v>
      </c>
    </row>
    <row r="3" customFormat="false" ht="14.25" hidden="false" customHeight="false" outlineLevel="0" collapsed="false">
      <c r="A3" s="1" t="s">
        <v>2575</v>
      </c>
      <c r="B3" s="1" t="s">
        <v>2381</v>
      </c>
    </row>
    <row r="4" customFormat="false" ht="14.25" hidden="false" customHeight="false" outlineLevel="0" collapsed="false">
      <c r="A4" s="1" t="s">
        <v>354</v>
      </c>
      <c r="B4" s="1" t="s">
        <v>115</v>
      </c>
    </row>
    <row r="5" customFormat="false" ht="14.25" hidden="false" customHeight="false" outlineLevel="0" collapsed="false">
      <c r="A5" s="1" t="s">
        <v>2576</v>
      </c>
      <c r="B5" s="1" t="s">
        <v>138</v>
      </c>
    </row>
    <row r="6" customFormat="false" ht="14.25" hidden="false" customHeight="false" outlineLevel="0" collapsed="false">
      <c r="A6" s="1" t="s">
        <v>346</v>
      </c>
      <c r="B6" s="1" t="s">
        <v>138</v>
      </c>
    </row>
    <row r="7" customFormat="false" ht="14.25" hidden="false" customHeight="false" outlineLevel="0" collapsed="false">
      <c r="A7" s="1" t="s">
        <v>2577</v>
      </c>
      <c r="B7" s="1" t="s">
        <v>115</v>
      </c>
    </row>
    <row r="8" customFormat="false" ht="14.25" hidden="false" customHeight="false" outlineLevel="0" collapsed="false">
      <c r="A8" s="1" t="s">
        <v>2578</v>
      </c>
      <c r="B8" s="1" t="s">
        <v>2382</v>
      </c>
    </row>
    <row r="9" customFormat="false" ht="14.25" hidden="false" customHeight="false" outlineLevel="0" collapsed="false">
      <c r="A9" s="1" t="s">
        <v>341</v>
      </c>
      <c r="B9" s="1" t="s">
        <v>115</v>
      </c>
    </row>
    <row r="10" customFormat="false" ht="14.25" hidden="false" customHeight="false" outlineLevel="0" collapsed="false">
      <c r="A10" s="1" t="s">
        <v>344</v>
      </c>
      <c r="B10" s="1" t="s">
        <v>138</v>
      </c>
    </row>
    <row r="11" customFormat="false" ht="14.25" hidden="false" customHeight="false" outlineLevel="0" collapsed="false">
      <c r="A11" s="1" t="s">
        <v>345</v>
      </c>
      <c r="B11" s="1" t="s">
        <v>2382</v>
      </c>
    </row>
    <row r="12" customFormat="false" ht="14.25" hidden="false" customHeight="false" outlineLevel="0" collapsed="false">
      <c r="A12" s="1" t="s">
        <v>356</v>
      </c>
      <c r="B12" s="1" t="s">
        <v>115</v>
      </c>
    </row>
    <row r="13" customFormat="false" ht="14.25" hidden="false" customHeight="false" outlineLevel="0" collapsed="false">
      <c r="A13" s="1" t="s">
        <v>2579</v>
      </c>
      <c r="B13" s="1" t="s">
        <v>115</v>
      </c>
    </row>
    <row r="14" customFormat="false" ht="14.25" hidden="false" customHeight="false" outlineLevel="0" collapsed="false">
      <c r="A14" s="1" t="s">
        <v>2580</v>
      </c>
      <c r="B14" s="1" t="s">
        <v>138</v>
      </c>
    </row>
    <row r="15" customFormat="false" ht="14.25" hidden="false" customHeight="false" outlineLevel="0" collapsed="false">
      <c r="A15" s="1" t="s">
        <v>337</v>
      </c>
      <c r="B15" s="1" t="s">
        <v>115</v>
      </c>
    </row>
    <row r="16" customFormat="false" ht="14.25" hidden="false" customHeight="false" outlineLevel="0" collapsed="false">
      <c r="A16" s="1" t="s">
        <v>342</v>
      </c>
      <c r="B16" s="1" t="s">
        <v>115</v>
      </c>
    </row>
    <row r="17" customFormat="false" ht="14.25" hidden="false" customHeight="false" outlineLevel="0" collapsed="false">
      <c r="A17" s="1" t="s">
        <v>351</v>
      </c>
      <c r="B17" s="1" t="s">
        <v>115</v>
      </c>
    </row>
    <row r="18" customFormat="false" ht="14.25" hidden="false" customHeight="false" outlineLevel="0" collapsed="false">
      <c r="A18" s="1" t="s">
        <v>2581</v>
      </c>
      <c r="B18" s="1" t="s">
        <v>2381</v>
      </c>
    </row>
    <row r="19" customFormat="false" ht="14.25" hidden="false" customHeight="false" outlineLevel="0" collapsed="false">
      <c r="A19" s="1" t="s">
        <v>355</v>
      </c>
      <c r="B19" s="1" t="s">
        <v>115</v>
      </c>
    </row>
    <row r="20" customFormat="false" ht="14.25" hidden="false" customHeight="false" outlineLevel="0" collapsed="false">
      <c r="A20" s="1" t="s">
        <v>330</v>
      </c>
      <c r="B20" s="1" t="s">
        <v>115</v>
      </c>
    </row>
    <row r="21" customFormat="false" ht="14.25" hidden="false" customHeight="false" outlineLevel="0" collapsed="false">
      <c r="A21" s="1" t="s">
        <v>2582</v>
      </c>
      <c r="B21" s="1" t="s">
        <v>2381</v>
      </c>
    </row>
    <row r="22" customFormat="false" ht="14.25" hidden="false" customHeight="false" outlineLevel="0" collapsed="false">
      <c r="A22" s="1" t="s">
        <v>2583</v>
      </c>
      <c r="B22" s="1" t="s">
        <v>138</v>
      </c>
    </row>
    <row r="23" customFormat="false" ht="14.25" hidden="false" customHeight="false" outlineLevel="0" collapsed="false">
      <c r="A23" s="1" t="s">
        <v>2584</v>
      </c>
      <c r="B23" s="1" t="s">
        <v>115</v>
      </c>
    </row>
    <row r="24" customFormat="false" ht="14.25" hidden="false" customHeight="false" outlineLevel="0" collapsed="false">
      <c r="A24" s="1" t="s">
        <v>335</v>
      </c>
      <c r="B24" s="1" t="s">
        <v>2382</v>
      </c>
    </row>
    <row r="25" customFormat="false" ht="14.25" hidden="false" customHeight="false" outlineLevel="0" collapsed="false">
      <c r="A25" s="1" t="s">
        <v>358</v>
      </c>
      <c r="B25" s="1" t="s">
        <v>115</v>
      </c>
    </row>
    <row r="26" customFormat="false" ht="14.25" hidden="false" customHeight="false" outlineLevel="0" collapsed="false">
      <c r="A26" s="1" t="s">
        <v>353</v>
      </c>
      <c r="B26" s="1" t="s">
        <v>115</v>
      </c>
    </row>
    <row r="27" customFormat="false" ht="14.25" hidden="false" customHeight="false" outlineLevel="0" collapsed="false">
      <c r="A27" s="1" t="s">
        <v>2585</v>
      </c>
      <c r="B27" s="1" t="s">
        <v>115</v>
      </c>
    </row>
    <row r="28" customFormat="false" ht="14.25" hidden="false" customHeight="false" outlineLevel="0" collapsed="false">
      <c r="A28" s="1" t="s">
        <v>352</v>
      </c>
      <c r="B28" s="1" t="s">
        <v>115</v>
      </c>
    </row>
    <row r="29" customFormat="false" ht="14.25" hidden="false" customHeight="false" outlineLevel="0" collapsed="false">
      <c r="A29" s="1" t="s">
        <v>328</v>
      </c>
      <c r="B29" s="1" t="s">
        <v>138</v>
      </c>
    </row>
    <row r="30" customFormat="false" ht="14.25" hidden="false" customHeight="false" outlineLevel="0" collapsed="false">
      <c r="A30" s="1" t="s">
        <v>332</v>
      </c>
      <c r="B30" s="1" t="s">
        <v>2586</v>
      </c>
    </row>
    <row r="31" customFormat="false" ht="14.25" hidden="false" customHeight="false" outlineLevel="0" collapsed="false">
      <c r="A31" s="1" t="s">
        <v>2587</v>
      </c>
      <c r="B31" s="1" t="s">
        <v>2381</v>
      </c>
    </row>
    <row r="32" customFormat="false" ht="14.25" hidden="false" customHeight="false" outlineLevel="0" collapsed="false">
      <c r="A32" s="1" t="s">
        <v>350</v>
      </c>
      <c r="B32" s="1" t="s">
        <v>2382</v>
      </c>
    </row>
    <row r="33" customFormat="false" ht="14.25" hidden="false" customHeight="false" outlineLevel="0" collapsed="false">
      <c r="A33" s="1" t="s">
        <v>347</v>
      </c>
      <c r="B33" s="1" t="s">
        <v>115</v>
      </c>
    </row>
    <row r="34" customFormat="false" ht="14.25" hidden="false" customHeight="false" outlineLevel="0" collapsed="false">
      <c r="A34" s="1" t="s">
        <v>2588</v>
      </c>
      <c r="B34" s="1" t="s">
        <v>115</v>
      </c>
    </row>
    <row r="35" customFormat="false" ht="14.25" hidden="false" customHeight="false" outlineLevel="0" collapsed="false">
      <c r="A35" s="1" t="s">
        <v>320</v>
      </c>
      <c r="B35" s="1" t="s">
        <v>115</v>
      </c>
    </row>
    <row r="36" customFormat="false" ht="14.25" hidden="false" customHeight="false" outlineLevel="0" collapsed="false">
      <c r="A36" s="1" t="s">
        <v>339</v>
      </c>
      <c r="B36" s="1" t="s">
        <v>115</v>
      </c>
    </row>
    <row r="37" customFormat="false" ht="14.25" hidden="false" customHeight="false" outlineLevel="0" collapsed="false">
      <c r="A37" s="1" t="s">
        <v>357</v>
      </c>
      <c r="B37" s="1" t="s">
        <v>2382</v>
      </c>
    </row>
    <row r="38" customFormat="false" ht="14.25" hidden="false" customHeight="false" outlineLevel="0" collapsed="false">
      <c r="A38" s="1" t="s">
        <v>348</v>
      </c>
      <c r="B38" s="1" t="s">
        <v>2381</v>
      </c>
    </row>
    <row r="39" customFormat="false" ht="14.25" hidden="false" customHeight="false" outlineLevel="0" collapsed="false">
      <c r="A39" s="1" t="s">
        <v>2589</v>
      </c>
      <c r="B39" s="1" t="s">
        <v>138</v>
      </c>
    </row>
    <row r="40" customFormat="false" ht="14.25" hidden="false" customHeight="false" outlineLevel="0" collapsed="false">
      <c r="A40" s="1" t="s">
        <v>340</v>
      </c>
      <c r="B40" s="1" t="s">
        <v>115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tableParts>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M1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1" sqref="4:8 A2"/>
    </sheetView>
  </sheetViews>
  <sheetFormatPr defaultColWidth="8.72265625" defaultRowHeight="14.25" zeroHeight="false" outlineLevelRow="0" outlineLevelCol="0"/>
  <cols>
    <col collapsed="false" customWidth="true" hidden="false" outlineLevel="0" max="3" min="3" style="1" width="14.36"/>
    <col collapsed="false" customWidth="true" hidden="false" outlineLevel="0" max="4" min="4" style="1" width="13.17"/>
    <col collapsed="false" customWidth="true" hidden="false" outlineLevel="0" max="5" min="5" style="1" width="23.72"/>
    <col collapsed="false" customWidth="true" hidden="false" outlineLevel="0" max="6" min="6" style="1" width="23.82"/>
    <col collapsed="false" customWidth="true" hidden="false" outlineLevel="0" max="8" min="7" style="1" width="12.72"/>
    <col collapsed="false" customWidth="true" hidden="false" outlineLevel="0" max="9" min="9" style="1" width="16.54"/>
    <col collapsed="false" customWidth="true" hidden="false" outlineLevel="0" max="10" min="10" style="1" width="15.09"/>
    <col collapsed="false" customWidth="true" hidden="false" outlineLevel="0" max="11" min="11" style="1" width="21.18"/>
    <col collapsed="false" customWidth="true" hidden="false" outlineLevel="0" max="13" min="13" style="1" width="144.83"/>
    <col collapsed="false" customWidth="false" hidden="true" outlineLevel="0" max="1024" min="14" style="1" width="8.72"/>
  </cols>
  <sheetData>
    <row r="1" customFormat="false" ht="45" hidden="false" customHeight="true" outlineLevel="0" collapsed="false"/>
    <row r="2" customFormat="false" ht="14.25" hidden="false" customHeight="false" outlineLevel="0" collapsed="false">
      <c r="A2" s="113" t="s">
        <v>95</v>
      </c>
      <c r="B2" s="114" t="s">
        <v>1</v>
      </c>
      <c r="C2" s="115" t="s">
        <v>96</v>
      </c>
      <c r="D2" s="115" t="s">
        <v>97</v>
      </c>
      <c r="E2" s="115" t="s">
        <v>98</v>
      </c>
      <c r="F2" s="115" t="s">
        <v>2590</v>
      </c>
      <c r="G2" s="116" t="s">
        <v>100</v>
      </c>
      <c r="H2" s="116" t="s">
        <v>101</v>
      </c>
      <c r="I2" s="115" t="s">
        <v>4</v>
      </c>
      <c r="J2" s="115" t="s">
        <v>102</v>
      </c>
      <c r="K2" s="115" t="s">
        <v>103</v>
      </c>
      <c r="L2" s="115" t="s">
        <v>213</v>
      </c>
      <c r="M2" s="117" t="s">
        <v>2591</v>
      </c>
    </row>
    <row r="3" customFormat="false" ht="14.25" hidden="false" customHeight="false" outlineLevel="0" collapsed="false">
      <c r="A3" s="118" t="str">
        <f aca="false">IF('Matching Sheet'!A3 = "", "", 'Matching Sheet'!A3)</f>
        <v>Tesla</v>
      </c>
      <c r="B3" s="119" t="str">
        <f aca="false">IF('Matching Sheet'!B3 = "", "", 'Matching Sheet'!B3)</f>
        <v>DE</v>
      </c>
      <c r="C3" s="119" t="str">
        <f aca="false">IF('Matching Sheet'!C3 = "", "", 'Matching Sheet'!C3)</f>
        <v>Hardlines</v>
      </c>
      <c r="D3" s="119" t="str">
        <f aca="false">IF('Matching Sheet'!D3 = "", "", 'Matching Sheet'!D3)</f>
        <v>Toys</v>
      </c>
      <c r="E3" s="119" t="str">
        <f aca="false">IF('Matching Sheet'!E3 = "", "", 'Matching Sheet'!E3)</f>
        <v>MyToys</v>
      </c>
      <c r="F3" s="119" t="str">
        <f aca="false">IF(Matching_Tb[[#This Row],[CMT  Set-up]] = "", "", Matching_Tb[[#This Row],[CMT  Set-up]])</f>
        <v>ST</v>
      </c>
      <c r="G3" s="120" t="n">
        <f aca="false">IF(Matching_Tb[[#This Row],[Start date]] = "", "", Matching_Tb[[#This Row],[Start date]])</f>
        <v>44768</v>
      </c>
      <c r="H3" s="120" t="n">
        <f aca="false">IF(Matching_Tb[[#This Row],[End date]] = "", "", Matching_Tb[[#This Row],[End date]])</f>
        <v>44774</v>
      </c>
      <c r="I3" s="121" t="str">
        <f aca="false">IF(Matching_Tb[[#This Row],[Competitor URL]] = "", "", HYPERLINK(Matching_Tb[[#This Row],[Competitor URL]], "Link"))</f>
        <v>Link</v>
      </c>
      <c r="J3" s="122" t="str">
        <f aca="false">IF(Retail_Tb[[#This Row],[MKPL]] = "", "", IF(Matching_Tb[[#This Row],[Promo code]] = "", "N/A", Matching_Tb[[#This Row],[Promo code]]))</f>
        <v>PLAYNOV20</v>
      </c>
      <c r="K3" s="119" t="str">
        <f aca="false">IF(Matching_Tb[[#This Row],[Offer Details]] = "", "", Matching_Tb[[#This Row],[Offer Details]])</f>
        <v>20% Extra-Rabatt auf Artikel der Marke PLAYMOBIL® Novelmore für Ihren Einkauf bei myToys</v>
      </c>
      <c r="L3" s="121" t="str">
        <f aca="false">IF(Matching_Tb[[#This Row],[TT Link]] = "", "", IF(Matching_Tb[[#This Row],[Can be matched ? ]] = "No", "", HYPERLINK(Matching_Tb[[#This Row],[TT Link]], "Link")))</f>
        <v>Link</v>
      </c>
      <c r="M3" s="123" t="str">
        <f aca="false">IF(Matching_Tb[[#This Row],[Comment]] = "", "", VLOOKUP(Matching_Tb[[#This Row],[Comment]],Disclaimers!$A$3:$C$100, 3, 0))</f>
        <v>Note: Our internal team is working on extracting the overlapping ASINs from the promotion node. Post extraction, Vibe will be launched and updated in the same portal.</v>
      </c>
    </row>
    <row r="4" customFormat="false" ht="14.25" hidden="false" customHeight="false" outlineLevel="0" collapsed="false">
      <c r="A4" s="118" t="str">
        <f aca="false">IF('Matching Sheet'!A4 = "", "", 'Matching Sheet'!A4)</f>
        <v>Tesla</v>
      </c>
      <c r="B4" s="119" t="str">
        <f aca="false">IF('Matching Sheet'!B4 = "", "", 'Matching Sheet'!B4)</f>
        <v>TR</v>
      </c>
      <c r="C4" s="119" t="str">
        <f aca="false">IF('Matching Sheet'!C4 = "", "", 'Matching Sheet'!C4)</f>
        <v>Hardlines</v>
      </c>
      <c r="D4" s="119" t="str">
        <f aca="false">IF('Matching Sheet'!D4 = "", "", 'Matching Sheet'!D4)</f>
        <v>Home</v>
      </c>
      <c r="E4" s="119" t="str">
        <f aca="false">IF('Matching Sheet'!E4 = "", "", 'Matching Sheet'!E4)</f>
        <v>Morhipo-TR</v>
      </c>
      <c r="F4" s="119" t="str">
        <f aca="false">IF(Matching_Tb[[#This Row],[CMT  Set-up]] = "", "", Matching_Tb[[#This Row],[CMT  Set-up]])</f>
        <v>ST</v>
      </c>
      <c r="G4" s="120" t="n">
        <f aca="false">IF(Matching_Tb[[#This Row],[Start date]] = "", "", Matching_Tb[[#This Row],[Start date]])</f>
        <v>44768</v>
      </c>
      <c r="H4" s="120" t="str">
        <f aca="false">IF(Matching_Tb[[#This Row],[End date]] = "", "", Matching_Tb[[#This Row],[End date]])</f>
        <v>No end date</v>
      </c>
      <c r="I4" s="121" t="str">
        <f aca="false">IF(Matching_Tb[[#This Row],[Competitor URL]] = "", "", HYPERLINK(Matching_Tb[[#This Row],[Competitor URL]], "Link"))</f>
        <v>Link</v>
      </c>
      <c r="J4" s="122" t="str">
        <f aca="false">IF(Retail_Tb[[#This Row],[MKPL]] = "", "", IF(Matching_Tb[[#This Row],[Promo code]] = "", "N/A", Matching_Tb[[#This Row],[Promo code]]))</f>
        <v>N/A</v>
      </c>
      <c r="K4" s="119" t="str">
        <f aca="false">IF(Matching_Tb[[#This Row],[Offer Details]] = "", "", Matching_Tb[[#This Row],[Offer Details]])</f>
        <v>Sepette %15 İndirim</v>
      </c>
      <c r="L4" s="121" t="str">
        <f aca="false">IF(Matching_Tb[[#This Row],[TT Link]] = "", "", IF(Matching_Tb[[#This Row],[Can be matched ? ]] = "No", "", HYPERLINK(Matching_Tb[[#This Row],[TT Link]], "Link")))</f>
        <v>Link</v>
      </c>
      <c r="M4" s="123" t="str">
        <f aca="false">IF(Matching_Tb[[#This Row],[Comment]] = "", "", VLOOKUP(Matching_Tb[[#This Row],[Comment]],Disclaimers!$A$3:$C$100, 3, 0))</f>
        <v>Note: The above promotion is matched by ST crawl rules. Kindly track the ticket for more details</v>
      </c>
    </row>
    <row r="5" customFormat="false" ht="14.25" hidden="false" customHeight="false" outlineLevel="0" collapsed="false">
      <c r="A5" s="118" t="str">
        <f aca="false">IF('Matching Sheet'!A5 = "", "", 'Matching Sheet'!A5)</f>
        <v>Tesla</v>
      </c>
      <c r="B5" s="119" t="str">
        <f aca="false">IF('Matching Sheet'!B5 = "", "", 'Matching Sheet'!B5)</f>
        <v>FR</v>
      </c>
      <c r="C5" s="119" t="str">
        <f aca="false">IF('Matching Sheet'!C5 = "", "", 'Matching Sheet'!C5)</f>
        <v>Consumables</v>
      </c>
      <c r="D5" s="119" t="str">
        <f aca="false">IF('Matching Sheet'!D5 = "", "", 'Matching Sheet'!D5)</f>
        <v>Mixed</v>
      </c>
      <c r="E5" s="119" t="str">
        <f aca="false">IF('Matching Sheet'!E5 = "", "", 'Matching Sheet'!E5)</f>
        <v>CarrefourDrive-FR</v>
      </c>
      <c r="F5" s="119" t="str">
        <f aca="false">IF(Matching_Tb[[#This Row],[CMT  Set-up]] = "", "", Matching_Tb[[#This Row],[CMT  Set-up]])</f>
        <v>ST</v>
      </c>
      <c r="G5" s="120" t="n">
        <f aca="false">IF(Matching_Tb[[#This Row],[Start date]] = "", "", Matching_Tb[[#This Row],[Start date]])</f>
        <v>44768</v>
      </c>
      <c r="H5" s="120" t="n">
        <f aca="false">IF(Matching_Tb[[#This Row],[End date]] = "", "", Matching_Tb[[#This Row],[End date]])</f>
        <v>44782</v>
      </c>
      <c r="I5" s="121" t="str">
        <f aca="false">IF(Matching_Tb[[#This Row],[Competitor URL]] = "", "", HYPERLINK(Matching_Tb[[#This Row],[Competitor URL]], "Link"))</f>
        <v>Link</v>
      </c>
      <c r="J5" s="122" t="str">
        <f aca="false">IF(Retail_Tb[[#This Row],[MKPL]] = "", "", IF(Matching_Tb[[#This Row],[Promo code]] = "", "N/A", Matching_Tb[[#This Row],[Promo code]]))</f>
        <v>N/A</v>
      </c>
      <c r="K5" s="119" t="str">
        <f aca="false">IF(Matching_Tb[[#This Row],[Offer Details]] = "", "", Matching_Tb[[#This Row],[Offer Details]])</f>
        <v>Prenez en 3 = Payez en 2</v>
      </c>
      <c r="L5" s="121" t="str">
        <f aca="false">IF(Matching_Tb[[#This Row],[TT Link]] = "", "", IF(Matching_Tb[[#This Row],[Can be matched ? ]] = "No", "", HYPERLINK(Matching_Tb[[#This Row],[TT Link]], "Link")))</f>
        <v/>
      </c>
      <c r="M5" s="123" t="str">
        <f aca="false">IF(Matching_Tb[[#This Row],[Comment]] = "", "", VLOOKUP(Matching_Tb[[#This Row],[Comment]],Disclaimers!$A$3:$C$100, 3, 0))</f>
        <v>Note: We are unable to validate the above promotions in cart. Hence requesting retail to review.</v>
      </c>
    </row>
    <row r="6" customFormat="false" ht="14.25" hidden="false" customHeight="false" outlineLevel="0" collapsed="false">
      <c r="A6" s="118" t="str">
        <f aca="false">IF('Matching Sheet'!A6 = "", "", 'Matching Sheet'!A6)</f>
        <v>Tesla</v>
      </c>
      <c r="B6" s="119" t="str">
        <f aca="false">IF('Matching Sheet'!B6 = "", "", 'Matching Sheet'!B6)</f>
        <v>ES</v>
      </c>
      <c r="C6" s="119" t="str">
        <f aca="false">IF('Matching Sheet'!C6 = "", "", 'Matching Sheet'!C6)</f>
        <v>Hardlines</v>
      </c>
      <c r="D6" s="119" t="str">
        <f aca="false">IF('Matching Sheet'!D6 = "", "", 'Matching Sheet'!D6)</f>
        <v>Mixed</v>
      </c>
      <c r="E6" s="119" t="str">
        <f aca="false">IF('Matching Sheet'!E6 = "", "", 'Matching Sheet'!E6)</f>
        <v>Worten-ES</v>
      </c>
      <c r="F6" s="119" t="str">
        <f aca="false">IF(Matching_Tb[[#This Row],[CMT  Set-up]] = "", "", Matching_Tb[[#This Row],[CMT  Set-up]])</f>
        <v>ST</v>
      </c>
      <c r="G6" s="120" t="n">
        <f aca="false">IF(Matching_Tb[[#This Row],[Start date]] = "", "", Matching_Tb[[#This Row],[Start date]])</f>
        <v>44768</v>
      </c>
      <c r="H6" s="120" t="str">
        <f aca="false">IF(Matching_Tb[[#This Row],[End date]] = "", "", Matching_Tb[[#This Row],[End date]])</f>
        <v>No end date</v>
      </c>
      <c r="I6" s="121" t="str">
        <f aca="false">IF(Matching_Tb[[#This Row],[Competitor URL]] = "", "", HYPERLINK(Matching_Tb[[#This Row],[Competitor URL]], "Link"))</f>
        <v>Link</v>
      </c>
      <c r="J6" s="122" t="str">
        <f aca="false">IF(Retail_Tb[[#This Row],[MKPL]] = "", "", IF(Matching_Tb[[#This Row],[Promo code]] = "", "N/A", Matching_Tb[[#This Row],[Promo code]]))</f>
        <v>N/A</v>
      </c>
      <c r="K6" s="119" t="str">
        <f aca="false">IF(Matching_Tb[[#This Row],[Offer Details]] = "", "", Matching_Tb[[#This Row],[Offer Details]])</f>
        <v>15% Reembolso</v>
      </c>
      <c r="L6" s="121" t="str">
        <f aca="false">IF(Matching_Tb[[#This Row],[TT Link]] = "", "", IF(Matching_Tb[[#This Row],[Can be matched ? ]] = "No", "", HYPERLINK(Matching_Tb[[#This Row],[TT Link]], "Link")))</f>
        <v/>
      </c>
      <c r="M6" s="123" t="str">
        <f aca="false">IF(Matching_Tb[[#This Row],[Comment]] = "", "", VLOOKUP(Matching_Tb[[#This Row],[Comment]],Disclaimers!$A$3:$C$100, 3, 0))</f>
        <v>Note: The above promotion is bounce back promotions redeemable at later dates. Hence, not being matched.</v>
      </c>
    </row>
    <row r="7" customFormat="false" ht="14.25" hidden="false" customHeight="false" outlineLevel="0" collapsed="false">
      <c r="A7" s="118" t="str">
        <f aca="false">IF('Matching Sheet'!A7 = "", "", 'Matching Sheet'!A7)</f>
        <v>Manual</v>
      </c>
      <c r="B7" s="119" t="str">
        <f aca="false">IF('Matching Sheet'!B7 = "", "", 'Matching Sheet'!B7)</f>
        <v>AU</v>
      </c>
      <c r="C7" s="119" t="str">
        <f aca="false">IF('Matching Sheet'!C7 = "", "", 'Matching Sheet'!C7)</f>
        <v>All</v>
      </c>
      <c r="D7" s="119" t="str">
        <f aca="false">IF('Matching Sheet'!D7 = "", "", 'Matching Sheet'!D7)</f>
        <v>Mixed</v>
      </c>
      <c r="E7" s="119" t="str">
        <f aca="false">IF('Matching Sheet'!E7 = "", "", 'Matching Sheet'!E7)</f>
        <v>JBHi-Fi-AU</v>
      </c>
      <c r="F7" s="119" t="str">
        <f aca="false">IF(Matching_Tb[[#This Row],[CMT  Set-up]] = "", "", Matching_Tb[[#This Row],[CMT  Set-up]])</f>
        <v>Vibe</v>
      </c>
      <c r="G7" s="120" t="n">
        <f aca="false">IF(Matching_Tb[[#This Row],[Start date]] = "", "", Matching_Tb[[#This Row],[Start date]])</f>
        <v>44768</v>
      </c>
      <c r="H7" s="120" t="n">
        <f aca="false">IF(Matching_Tb[[#This Row],[End date]] = "", "", Matching_Tb[[#This Row],[End date]])</f>
        <v>44770</v>
      </c>
      <c r="I7" s="121" t="str">
        <f aca="false">IF(Matching_Tb[[#This Row],[Competitor URL]] = "", "", HYPERLINK(Matching_Tb[[#This Row],[Competitor URL]], "Link"))</f>
        <v>Link</v>
      </c>
      <c r="J7" s="122" t="str">
        <f aca="false">IF(Retail_Tb[[#This Row],[MKPL]] = "", "", IF(Matching_Tb[[#This Row],[Promo code]] = "", "N/A", Matching_Tb[[#This Row],[Promo code]]))</f>
        <v>92JBFRENZYJUL</v>
      </c>
      <c r="K7" s="119" t="str">
        <f aca="false">IF(Matching_Tb[[#This Row],[Offer Details]] = "", "", Matching_Tb[[#This Row],[Offer Details]])</f>
        <v>Click Frenzy 10% OFF use this code at checkout 92JBFRENZYJUL</v>
      </c>
      <c r="L7" s="121" t="str">
        <f aca="false">IF(Matching_Tb[[#This Row],[TT Link]] = "", "", IF(Matching_Tb[[#This Row],[Can be matched ? ]] = "No", "", HYPERLINK(Matching_Tb[[#This Row],[TT Link]], "Link")))</f>
        <v>Link</v>
      </c>
      <c r="M7" s="123" t="str">
        <f aca="false">IF(Matching_Tb[[#This Row],[Comment]] = "", "", VLOOKUP(Matching_Tb[[#This Row],[Comment]],Disclaimers!$A$3:$C$100, 3, 0))</f>
        <v>Note: The above promotion is matched via GL level vibe. Kindly track the vibe link for matching details.</v>
      </c>
    </row>
    <row r="8" customFormat="false" ht="14.25" hidden="false" customHeight="false" outlineLevel="0" collapsed="false">
      <c r="A8" s="118" t="str">
        <f aca="false">IF('Matching Sheet'!A8 = "", "", 'Matching Sheet'!A8)</f>
        <v>Stark</v>
      </c>
      <c r="B8" s="119" t="str">
        <f aca="false">IF('Matching Sheet'!B8 = "", "", 'Matching Sheet'!B8)</f>
        <v>UK</v>
      </c>
      <c r="C8" s="119" t="str">
        <f aca="false">IF('Matching Sheet'!C8 = "", "", 'Matching Sheet'!C8)</f>
        <v>Consumables</v>
      </c>
      <c r="D8" s="119" t="str">
        <f aca="false">IF('Matching Sheet'!D8 = "", "", 'Matching Sheet'!D8)</f>
        <v>Grocery</v>
      </c>
      <c r="E8" s="119" t="str">
        <f aca="false">IF('Matching Sheet'!E8 = "", "", 'Matching Sheet'!E8)</f>
        <v>ASDA</v>
      </c>
      <c r="F8" s="119" t="str">
        <f aca="false">IF(Matching_Tb[[#This Row],[CMT  Set-up]] = "", "", Matching_Tb[[#This Row],[CMT  Set-up]])</f>
        <v>ST</v>
      </c>
      <c r="G8" s="120" t="n">
        <f aca="false">IF(Matching_Tb[[#This Row],[Start date]] = "", "", Matching_Tb[[#This Row],[Start date]])</f>
        <v>44768</v>
      </c>
      <c r="H8" s="120" t="str">
        <f aca="false">IF(Matching_Tb[[#This Row],[End date]] = "", "", Matching_Tb[[#This Row],[End date]])</f>
        <v>No end date</v>
      </c>
      <c r="I8" s="121" t="str">
        <f aca="false">IF(Matching_Tb[[#This Row],[Competitor URL]] = "", "", HYPERLINK(Matching_Tb[[#This Row],[Competitor URL]], "Link"))</f>
        <v>Link</v>
      </c>
      <c r="J8" s="122" t="str">
        <f aca="false">IF(Retail_Tb[[#This Row],[MKPL]] = "", "", IF(Matching_Tb[[#This Row],[Promo code]] = "", "N/A", Matching_Tb[[#This Row],[Promo code]]))</f>
        <v>N/A</v>
      </c>
      <c r="K8" s="119" t="str">
        <f aca="false">IF(Matching_Tb[[#This Row],[Offer Details]] = "", "", Matching_Tb[[#This Row],[Offer Details]])</f>
        <v>3 for £3</v>
      </c>
      <c r="L8" s="121" t="str">
        <f aca="false">IF(Matching_Tb[[#This Row],[TT Link]] = "", "", IF(Matching_Tb[[#This Row],[Can be matched ? ]] = "No", "", HYPERLINK(Matching_Tb[[#This Row],[TT Link]], "Link")))</f>
        <v>Link</v>
      </c>
      <c r="M8" s="123" t="str">
        <f aca="false">IF(Matching_Tb[[#This Row],[Comment]] = "", "", VLOOKUP(Matching_Tb[[#This Row],[Comment]],Disclaimers!$A$3:$C$100, 3, 0))</f>
        <v>Note: The above promotion is matched by ST crawl rules. Kindly track the ticket for more details</v>
      </c>
    </row>
    <row r="9" customFormat="false" ht="14.25" hidden="false" customHeight="false" outlineLevel="0" collapsed="false">
      <c r="A9" s="118" t="str">
        <f aca="false">IF('Matching Sheet'!A9 = "", "", 'Matching Sheet'!A9)</f>
        <v/>
      </c>
      <c r="B9" s="119" t="str">
        <f aca="false">IF('Matching Sheet'!B9 = "", "", 'Matching Sheet'!B9)</f>
        <v/>
      </c>
      <c r="C9" s="119" t="str">
        <f aca="false">IF('Matching Sheet'!C9 = "", "", 'Matching Sheet'!C9)</f>
        <v/>
      </c>
      <c r="D9" s="119" t="str">
        <f aca="false">IF('Matching Sheet'!D9 = "", "", 'Matching Sheet'!D9)</f>
        <v/>
      </c>
      <c r="E9" s="119" t="str">
        <f aca="false">IF('Matching Sheet'!E9 = "", "", 'Matching Sheet'!E9)</f>
        <v/>
      </c>
      <c r="F9" s="119" t="str">
        <f aca="false">IF(Matching_Tb[[#This Row],[CMT  Set-up]] = "", "", Matching_Tb[[#This Row],[CMT  Set-up]])</f>
        <v/>
      </c>
      <c r="G9" s="120" t="str">
        <f aca="false">IF(Matching_Tb[[#This Row],[Start date]] = "", "", Matching_Tb[[#This Row],[Start date]])</f>
        <v/>
      </c>
      <c r="H9" s="120" t="str">
        <f aca="false">IF(Matching_Tb[[#This Row],[End date]] = "", "", Matching_Tb[[#This Row],[End date]])</f>
        <v/>
      </c>
      <c r="I9" s="121" t="str">
        <f aca="false">IF(Matching_Tb[[#This Row],[Competitor URL]] = "", "", HYPERLINK(Matching_Tb[[#This Row],[Competitor URL]], "Link"))</f>
        <v/>
      </c>
      <c r="J9" s="122" t="str">
        <f aca="false">IF(Retail_Tb[[#This Row],[MKPL]] = "", "", IF(Matching_Tb[[#This Row],[Promo code]] = "", "N/A", Matching_Tb[[#This Row],[Promo code]]))</f>
        <v/>
      </c>
      <c r="K9" s="119" t="str">
        <f aca="false">IF(Matching_Tb[[#This Row],[Offer Details]] = "", "", Matching_Tb[[#This Row],[Offer Details]])</f>
        <v/>
      </c>
      <c r="L9" s="121" t="str">
        <f aca="false">IF(Matching_Tb[[#This Row],[TT Link]] = "", "", IF(Matching_Tb[[#This Row],[Can be matched ? ]] = "No", "", HYPERLINK(Matching_Tb[[#This Row],[TT Link]], "Link")))</f>
        <v/>
      </c>
      <c r="M9" s="123" t="str">
        <f aca="false">IF(Matching_Tb[[#This Row],[Comment]] = "", "", VLOOKUP(Matching_Tb[[#This Row],[Comment]],Disclaimers!$A$3:$C$100, 3, 0))</f>
        <v/>
      </c>
    </row>
    <row r="10" customFormat="false" ht="14.25" hidden="false" customHeight="false" outlineLevel="0" collapsed="false">
      <c r="A10" s="118" t="str">
        <f aca="false">IF('Matching Sheet'!A10 = "", "", 'Matching Sheet'!A10)</f>
        <v/>
      </c>
      <c r="B10" s="119" t="str">
        <f aca="false">IF('Matching Sheet'!B10 = "", "", 'Matching Sheet'!B10)</f>
        <v/>
      </c>
      <c r="C10" s="119" t="str">
        <f aca="false">IF('Matching Sheet'!C10 = "", "", 'Matching Sheet'!C10)</f>
        <v/>
      </c>
      <c r="D10" s="119" t="str">
        <f aca="false">IF('Matching Sheet'!D10 = "", "", 'Matching Sheet'!D10)</f>
        <v/>
      </c>
      <c r="E10" s="119" t="str">
        <f aca="false">IF('Matching Sheet'!E10 = "", "", 'Matching Sheet'!E10)</f>
        <v/>
      </c>
      <c r="F10" s="119" t="str">
        <f aca="false">IF(Matching_Tb[[#This Row],[CMT  Set-up]] = "", "", Matching_Tb[[#This Row],[CMT  Set-up]])</f>
        <v/>
      </c>
      <c r="G10" s="120" t="str">
        <f aca="false">IF(Matching_Tb[[#This Row],[Start date]] = "", "", Matching_Tb[[#This Row],[Start date]])</f>
        <v/>
      </c>
      <c r="H10" s="120" t="str">
        <f aca="false">IF(Matching_Tb[[#This Row],[End date]] = "", "", Matching_Tb[[#This Row],[End date]])</f>
        <v/>
      </c>
      <c r="I10" s="121" t="str">
        <f aca="false">IF(Matching_Tb[[#This Row],[Competitor URL]] = "", "", HYPERLINK(Matching_Tb[[#This Row],[Competitor URL]], "Link"))</f>
        <v/>
      </c>
      <c r="J10" s="122" t="str">
        <f aca="false">IF(Retail_Tb[[#This Row],[MKPL]] = "", "", IF(Matching_Tb[[#This Row],[Promo code]] = "", "N/A", Matching_Tb[[#This Row],[Promo code]]))</f>
        <v/>
      </c>
      <c r="K10" s="119" t="str">
        <f aca="false">IF(Matching_Tb[[#This Row],[Offer Details]] = "", "", Matching_Tb[[#This Row],[Offer Details]])</f>
        <v/>
      </c>
      <c r="L10" s="121" t="str">
        <f aca="false">IF(Matching_Tb[[#This Row],[TT Link]] = "", "", IF(Matching_Tb[[#This Row],[Can be matched ? ]] = "No", "", HYPERLINK(Matching_Tb[[#This Row],[TT Link]], "Link")))</f>
        <v/>
      </c>
      <c r="M10" s="123" t="str">
        <f aca="false">IF(Matching_Tb[[#This Row],[Comment]] = "", "", VLOOKUP(Matching_Tb[[#This Row],[Comment]],Disclaimers!$A$3:$C$100, 3, 0))</f>
        <v/>
      </c>
    </row>
    <row r="11" customFormat="false" ht="14.25" hidden="false" customHeight="false" outlineLevel="0" collapsed="false">
      <c r="A11" s="118" t="str">
        <f aca="false">IF('Matching Sheet'!A11 = "", "", 'Matching Sheet'!A11)</f>
        <v/>
      </c>
      <c r="B11" s="119" t="str">
        <f aca="false">IF('Matching Sheet'!B11 = "", "", 'Matching Sheet'!B11)</f>
        <v/>
      </c>
      <c r="C11" s="119" t="str">
        <f aca="false">IF('Matching Sheet'!C11 = "", "", 'Matching Sheet'!C11)</f>
        <v/>
      </c>
      <c r="D11" s="119" t="str">
        <f aca="false">IF('Matching Sheet'!D11 = "", "", 'Matching Sheet'!D11)</f>
        <v/>
      </c>
      <c r="E11" s="119" t="str">
        <f aca="false">IF('Matching Sheet'!E11 = "", "", 'Matching Sheet'!E11)</f>
        <v/>
      </c>
      <c r="F11" s="119" t="str">
        <f aca="false">IF(Matching_Tb[[#This Row],[CMT  Set-up]] = "", "", Matching_Tb[[#This Row],[CMT  Set-up]])</f>
        <v/>
      </c>
      <c r="G11" s="120" t="str">
        <f aca="false">IF(Matching_Tb[[#This Row],[Start date]] = "", "", Matching_Tb[[#This Row],[Start date]])</f>
        <v/>
      </c>
      <c r="H11" s="120" t="str">
        <f aca="false">IF(Matching_Tb[[#This Row],[End date]] = "", "", Matching_Tb[[#This Row],[End date]])</f>
        <v/>
      </c>
      <c r="I11" s="121" t="str">
        <f aca="false">IF(Matching_Tb[[#This Row],[Competitor URL]] = "", "", HYPERLINK(Matching_Tb[[#This Row],[Competitor URL]], "Link"))</f>
        <v/>
      </c>
      <c r="J11" s="122" t="str">
        <f aca="false">IF(Retail_Tb[[#This Row],[MKPL]] = "", "", IF(Matching_Tb[[#This Row],[Promo code]] = "", "N/A", Matching_Tb[[#This Row],[Promo code]]))</f>
        <v/>
      </c>
      <c r="K11" s="119" t="str">
        <f aca="false">IF(Matching_Tb[[#This Row],[Offer Details]] = "", "", Matching_Tb[[#This Row],[Offer Details]])</f>
        <v/>
      </c>
      <c r="L11" s="121" t="str">
        <f aca="false">IF(Matching_Tb[[#This Row],[TT Link]] = "", "", IF(Matching_Tb[[#This Row],[Can be matched ? ]] = "No", "", HYPERLINK(Matching_Tb[[#This Row],[TT Link]], "Link")))</f>
        <v/>
      </c>
      <c r="M11" s="123" t="str">
        <f aca="false">IF(Matching_Tb[[#This Row],[Comment]] = "", "", VLOOKUP(Matching_Tb[[#This Row],[Comment]],Disclaimers!$A$3:$C$100, 3, 0))</f>
        <v/>
      </c>
    </row>
    <row r="12" customFormat="false" ht="14.25" hidden="false" customHeight="false" outlineLevel="0" collapsed="false">
      <c r="A12" s="118" t="str">
        <f aca="false">IF('Matching Sheet'!A12 = "", "", 'Matching Sheet'!A12)</f>
        <v/>
      </c>
      <c r="B12" s="119" t="str">
        <f aca="false">IF('Matching Sheet'!B12 = "", "", 'Matching Sheet'!B12)</f>
        <v/>
      </c>
      <c r="C12" s="119" t="str">
        <f aca="false">IF('Matching Sheet'!C12 = "", "", 'Matching Sheet'!C12)</f>
        <v/>
      </c>
      <c r="D12" s="119" t="str">
        <f aca="false">IF('Matching Sheet'!D12 = "", "", 'Matching Sheet'!D12)</f>
        <v/>
      </c>
      <c r="E12" s="119" t="str">
        <f aca="false">IF('Matching Sheet'!E12 = "", "", 'Matching Sheet'!E12)</f>
        <v/>
      </c>
      <c r="F12" s="119" t="str">
        <f aca="false">IF(Matching_Tb[[#This Row],[CMT  Set-up]] = "", "", Matching_Tb[[#This Row],[CMT  Set-up]])</f>
        <v/>
      </c>
      <c r="G12" s="120" t="str">
        <f aca="false">IF(Matching_Tb[[#This Row],[Start date]] = "", "", Matching_Tb[[#This Row],[Start date]])</f>
        <v/>
      </c>
      <c r="H12" s="120" t="str">
        <f aca="false">IF(Matching_Tb[[#This Row],[End date]] = "", "", Matching_Tb[[#This Row],[End date]])</f>
        <v/>
      </c>
      <c r="I12" s="121" t="str">
        <f aca="false">IF(Matching_Tb[[#This Row],[Competitor URL]] = "", "", HYPERLINK(Matching_Tb[[#This Row],[Competitor URL]], "Link"))</f>
        <v/>
      </c>
      <c r="J12" s="122" t="str">
        <f aca="false">IF(Retail_Tb[[#This Row],[MKPL]] = "", "", IF(Matching_Tb[[#This Row],[Promo code]] = "", "N/A", Matching_Tb[[#This Row],[Promo code]]))</f>
        <v/>
      </c>
      <c r="K12" s="119" t="str">
        <f aca="false">IF(Matching_Tb[[#This Row],[Offer Details]] = "", "", Matching_Tb[[#This Row],[Offer Details]])</f>
        <v/>
      </c>
      <c r="L12" s="121" t="str">
        <f aca="false">IF(Matching_Tb[[#This Row],[TT Link]] = "", "", IF(Matching_Tb[[#This Row],[Can be matched ? ]] = "No", "", HYPERLINK(Matching_Tb[[#This Row],[TT Link]], "Link")))</f>
        <v/>
      </c>
      <c r="M12" s="123" t="str">
        <f aca="false">IF(Matching_Tb[[#This Row],[Comment]] = "", "", VLOOKUP(Matching_Tb[[#This Row],[Comment]],Disclaimers!$A$3:$C$100, 3, 0))</f>
        <v/>
      </c>
    </row>
    <row r="13" customFormat="false" ht="14.25" hidden="false" customHeight="false" outlineLevel="0" collapsed="false">
      <c r="A13" s="118" t="str">
        <f aca="false">IF('Matching Sheet'!A13 = "", "", 'Matching Sheet'!A13)</f>
        <v/>
      </c>
      <c r="B13" s="119" t="str">
        <f aca="false">IF('Matching Sheet'!B13 = "", "", 'Matching Sheet'!B13)</f>
        <v/>
      </c>
      <c r="C13" s="119" t="str">
        <f aca="false">IF('Matching Sheet'!C13 = "", "", 'Matching Sheet'!C13)</f>
        <v/>
      </c>
      <c r="D13" s="119" t="str">
        <f aca="false">IF('Matching Sheet'!D13 = "", "", 'Matching Sheet'!D13)</f>
        <v/>
      </c>
      <c r="E13" s="119" t="str">
        <f aca="false">IF('Matching Sheet'!E13 = "", "", 'Matching Sheet'!E13)</f>
        <v/>
      </c>
      <c r="F13" s="119" t="str">
        <f aca="false">IF(Matching_Tb[[#This Row],[CMT  Set-up]] = "", "", Matching_Tb[[#This Row],[CMT  Set-up]])</f>
        <v/>
      </c>
      <c r="G13" s="120" t="str">
        <f aca="false">IF(Matching_Tb[[#This Row],[Start date]] = "", "", Matching_Tb[[#This Row],[Start date]])</f>
        <v/>
      </c>
      <c r="H13" s="120" t="str">
        <f aca="false">IF(Matching_Tb[[#This Row],[End date]] = "", "", Matching_Tb[[#This Row],[End date]])</f>
        <v/>
      </c>
      <c r="I13" s="121" t="str">
        <f aca="false">IF(Matching_Tb[[#This Row],[Competitor URL]] = "", "", HYPERLINK(Matching_Tb[[#This Row],[Competitor URL]], "Link"))</f>
        <v/>
      </c>
      <c r="J13" s="122" t="str">
        <f aca="false">IF(Retail_Tb[[#This Row],[MKPL]] = "", "", IF(Matching_Tb[[#This Row],[Promo code]] = "", "N/A", Matching_Tb[[#This Row],[Promo code]]))</f>
        <v/>
      </c>
      <c r="K13" s="119" t="str">
        <f aca="false">IF(Matching_Tb[[#This Row],[Offer Details]] = "", "", Matching_Tb[[#This Row],[Offer Details]])</f>
        <v/>
      </c>
      <c r="L13" s="121" t="str">
        <f aca="false">IF(Matching_Tb[[#This Row],[TT Link]] = "", "", IF(Matching_Tb[[#This Row],[Can be matched ? ]] = "No", "", HYPERLINK(Matching_Tb[[#This Row],[TT Link]], "Link")))</f>
        <v/>
      </c>
      <c r="M13" s="123" t="str">
        <f aca="false">IF(Matching_Tb[[#This Row],[Comment]] = "", "", VLOOKUP(Matching_Tb[[#This Row],[Comment]],Disclaimers!$A$3:$C$100, 3, 0))</f>
        <v/>
      </c>
    </row>
    <row r="14" customFormat="false" ht="14.25" hidden="false" customHeight="false" outlineLevel="0" collapsed="false">
      <c r="A14" s="118" t="str">
        <f aca="false">IF('Matching Sheet'!A14 = "", "", 'Matching Sheet'!A14)</f>
        <v/>
      </c>
      <c r="B14" s="119" t="str">
        <f aca="false">IF('Matching Sheet'!B14 = "", "", 'Matching Sheet'!B14)</f>
        <v/>
      </c>
      <c r="C14" s="119" t="str">
        <f aca="false">IF('Matching Sheet'!C14 = "", "", 'Matching Sheet'!C14)</f>
        <v/>
      </c>
      <c r="D14" s="119" t="str">
        <f aca="false">IF('Matching Sheet'!D14 = "", "", 'Matching Sheet'!D14)</f>
        <v/>
      </c>
      <c r="E14" s="119" t="str">
        <f aca="false">IF('Matching Sheet'!E14 = "", "", 'Matching Sheet'!E14)</f>
        <v/>
      </c>
      <c r="F14" s="119" t="str">
        <f aca="false">IF(Matching_Tb[[#This Row],[CMT  Set-up]] = "", "", Matching_Tb[[#This Row],[CMT  Set-up]])</f>
        <v/>
      </c>
      <c r="G14" s="120" t="str">
        <f aca="false">IF(Matching_Tb[[#This Row],[Start date]] = "", "", Matching_Tb[[#This Row],[Start date]])</f>
        <v/>
      </c>
      <c r="H14" s="120" t="str">
        <f aca="false">IF(Matching_Tb[[#This Row],[End date]] = "", "", Matching_Tb[[#This Row],[End date]])</f>
        <v/>
      </c>
      <c r="I14" s="121" t="str">
        <f aca="false">IF(Matching_Tb[[#This Row],[Competitor URL]] = "", "", HYPERLINK(Matching_Tb[[#This Row],[Competitor URL]], "Link"))</f>
        <v/>
      </c>
      <c r="J14" s="122" t="str">
        <f aca="false">IF(Retail_Tb[[#This Row],[MKPL]] = "", "", IF(Matching_Tb[[#This Row],[Promo code]] = "", "N/A", Matching_Tb[[#This Row],[Promo code]]))</f>
        <v/>
      </c>
      <c r="K14" s="119" t="str">
        <f aca="false">IF(Matching_Tb[[#This Row],[Offer Details]] = "", "", Matching_Tb[[#This Row],[Offer Details]])</f>
        <v/>
      </c>
      <c r="L14" s="121" t="str">
        <f aca="false">IF(Matching_Tb[[#This Row],[TT Link]] = "", "", IF(Matching_Tb[[#This Row],[Can be matched ? ]] = "No", "", HYPERLINK(Matching_Tb[[#This Row],[TT Link]], "Link")))</f>
        <v/>
      </c>
      <c r="M14" s="123" t="str">
        <f aca="false">IF(Matching_Tb[[#This Row],[Comment]] = "", "", VLOOKUP(Matching_Tb[[#This Row],[Comment]],Disclaimers!$A$3:$C$100, 3, 0))</f>
        <v/>
      </c>
    </row>
    <row r="15" customFormat="false" ht="14.25" hidden="false" customHeight="false" outlineLevel="0" collapsed="false">
      <c r="A15" s="118" t="str">
        <f aca="false">IF('Matching Sheet'!A15 = "", "", 'Matching Sheet'!A15)</f>
        <v/>
      </c>
      <c r="B15" s="119" t="str">
        <f aca="false">IF('Matching Sheet'!B15 = "", "", 'Matching Sheet'!B15)</f>
        <v/>
      </c>
      <c r="C15" s="119" t="str">
        <f aca="false">IF('Matching Sheet'!C15 = "", "", 'Matching Sheet'!C15)</f>
        <v/>
      </c>
      <c r="D15" s="119" t="str">
        <f aca="false">IF('Matching Sheet'!D15 = "", "", 'Matching Sheet'!D15)</f>
        <v/>
      </c>
      <c r="E15" s="119" t="str">
        <f aca="false">IF('Matching Sheet'!E15 = "", "", 'Matching Sheet'!E15)</f>
        <v/>
      </c>
      <c r="F15" s="119" t="str">
        <f aca="false">IF(Matching_Tb[[#This Row],[CMT  Set-up]] = "", "", Matching_Tb[[#This Row],[CMT  Set-up]])</f>
        <v/>
      </c>
      <c r="G15" s="120" t="str">
        <f aca="false">IF(Matching_Tb[[#This Row],[Start date]] = "", "", Matching_Tb[[#This Row],[Start date]])</f>
        <v/>
      </c>
      <c r="H15" s="120" t="str">
        <f aca="false">IF(Matching_Tb[[#This Row],[End date]] = "", "", Matching_Tb[[#This Row],[End date]])</f>
        <v/>
      </c>
      <c r="I15" s="121" t="str">
        <f aca="false">IF(Matching_Tb[[#This Row],[Competitor URL]] = "", "", HYPERLINK(Matching_Tb[[#This Row],[Competitor URL]], "Link"))</f>
        <v/>
      </c>
      <c r="J15" s="122" t="str">
        <f aca="false">IF(Retail_Tb[[#This Row],[MKPL]] = "", "", IF(Matching_Tb[[#This Row],[Promo code]] = "", "N/A", Matching_Tb[[#This Row],[Promo code]]))</f>
        <v/>
      </c>
      <c r="K15" s="119" t="str">
        <f aca="false">IF(Matching_Tb[[#This Row],[Offer Details]] = "", "", Matching_Tb[[#This Row],[Offer Details]])</f>
        <v/>
      </c>
      <c r="L15" s="121" t="str">
        <f aca="false">IF(Matching_Tb[[#This Row],[TT Link]] = "", "", IF(Matching_Tb[[#This Row],[Can be matched ? ]] = "No", "", HYPERLINK(Matching_Tb[[#This Row],[TT Link]], "Link")))</f>
        <v/>
      </c>
      <c r="M15" s="123" t="str">
        <f aca="false">IF(Matching_Tb[[#This Row],[Comment]] = "", "", VLOOKUP(Matching_Tb[[#This Row],[Comment]],Disclaimers!$A$3:$C$100, 3, 0))</f>
        <v/>
      </c>
    </row>
    <row r="16" customFormat="false" ht="14.25" hidden="false" customHeight="false" outlineLevel="0" collapsed="false">
      <c r="A16" s="118" t="str">
        <f aca="false">IF('Matching Sheet'!A16 = "", "", 'Matching Sheet'!A16)</f>
        <v/>
      </c>
      <c r="B16" s="119" t="str">
        <f aca="false">IF('Matching Sheet'!B16 = "", "", 'Matching Sheet'!B16)</f>
        <v/>
      </c>
      <c r="C16" s="119" t="str">
        <f aca="false">IF('Matching Sheet'!C16 = "", "", 'Matching Sheet'!C16)</f>
        <v/>
      </c>
      <c r="D16" s="119" t="str">
        <f aca="false">IF('Matching Sheet'!D16 = "", "", 'Matching Sheet'!D16)</f>
        <v/>
      </c>
      <c r="E16" s="119" t="str">
        <f aca="false">IF('Matching Sheet'!E16 = "", "", 'Matching Sheet'!E16)</f>
        <v/>
      </c>
      <c r="F16" s="119" t="str">
        <f aca="false">IF(Matching_Tb[[#This Row],[CMT  Set-up]] = "", "", Matching_Tb[[#This Row],[CMT  Set-up]])</f>
        <v/>
      </c>
      <c r="G16" s="120" t="str">
        <f aca="false">IF(Matching_Tb[[#This Row],[Start date]] = "", "", Matching_Tb[[#This Row],[Start date]])</f>
        <v/>
      </c>
      <c r="H16" s="120" t="str">
        <f aca="false">IF(Matching_Tb[[#This Row],[End date]] = "", "", Matching_Tb[[#This Row],[End date]])</f>
        <v/>
      </c>
      <c r="I16" s="121" t="str">
        <f aca="false">IF(Matching_Tb[[#This Row],[Competitor URL]] = "", "", HYPERLINK(Matching_Tb[[#This Row],[Competitor URL]], "Link"))</f>
        <v/>
      </c>
      <c r="J16" s="122" t="str">
        <f aca="false">IF(Retail_Tb[[#This Row],[MKPL]] = "", "", IF(Matching_Tb[[#This Row],[Promo code]] = "", "N/A", Matching_Tb[[#This Row],[Promo code]]))</f>
        <v/>
      </c>
      <c r="K16" s="119" t="str">
        <f aca="false">IF(Matching_Tb[[#This Row],[Offer Details]] = "", "", Matching_Tb[[#This Row],[Offer Details]])</f>
        <v/>
      </c>
      <c r="L16" s="121" t="str">
        <f aca="false">IF(Matching_Tb[[#This Row],[TT Link]] = "", "", IF(Matching_Tb[[#This Row],[Can be matched ? ]] = "No", "", HYPERLINK(Matching_Tb[[#This Row],[TT Link]], "Link")))</f>
        <v/>
      </c>
      <c r="M16" s="123" t="str">
        <f aca="false">IF(Matching_Tb[[#This Row],[Comment]] = "", "", VLOOKUP(Matching_Tb[[#This Row],[Comment]],Disclaimers!$A$3:$C$100, 3, 0))</f>
        <v/>
      </c>
    </row>
    <row r="17" customFormat="false" ht="14.25" hidden="false" customHeight="false" outlineLevel="0" collapsed="false">
      <c r="A17" s="118" t="str">
        <f aca="false">IF('Matching Sheet'!A17 = "", "", 'Matching Sheet'!A17)</f>
        <v/>
      </c>
      <c r="B17" s="119" t="str">
        <f aca="false">IF('Matching Sheet'!B17 = "", "", 'Matching Sheet'!B17)</f>
        <v/>
      </c>
      <c r="C17" s="119" t="str">
        <f aca="false">IF('Matching Sheet'!C17 = "", "", 'Matching Sheet'!C17)</f>
        <v/>
      </c>
      <c r="D17" s="119" t="str">
        <f aca="false">IF('Matching Sheet'!D17 = "", "", 'Matching Sheet'!D17)</f>
        <v/>
      </c>
      <c r="E17" s="119" t="str">
        <f aca="false">IF('Matching Sheet'!E17 = "", "", 'Matching Sheet'!E17)</f>
        <v/>
      </c>
      <c r="F17" s="119" t="str">
        <f aca="false">IF(Matching_Tb[[#This Row],[CMT  Set-up]] = "", "", Matching_Tb[[#This Row],[CMT  Set-up]])</f>
        <v/>
      </c>
      <c r="G17" s="120" t="str">
        <f aca="false">IF(Matching_Tb[[#This Row],[Start date]] = "", "", Matching_Tb[[#This Row],[Start date]])</f>
        <v/>
      </c>
      <c r="H17" s="120" t="str">
        <f aca="false">IF(Matching_Tb[[#This Row],[End date]] = "", "", Matching_Tb[[#This Row],[End date]])</f>
        <v/>
      </c>
      <c r="I17" s="121" t="str">
        <f aca="false">IF(Matching_Tb[[#This Row],[Competitor URL]] = "", "", HYPERLINK(Matching_Tb[[#This Row],[Competitor URL]], "Link"))</f>
        <v/>
      </c>
      <c r="J17" s="122" t="str">
        <f aca="false">IF(Retail_Tb[[#This Row],[MKPL]] = "", "", IF(Matching_Tb[[#This Row],[Promo code]] = "", "N/A", Matching_Tb[[#This Row],[Promo code]]))</f>
        <v/>
      </c>
      <c r="K17" s="119" t="str">
        <f aca="false">IF(Matching_Tb[[#This Row],[Offer Details]] = "", "", Matching_Tb[[#This Row],[Offer Details]])</f>
        <v/>
      </c>
      <c r="L17" s="121" t="str">
        <f aca="false">IF(Matching_Tb[[#This Row],[TT Link]] = "", "", IF(Matching_Tb[[#This Row],[Can be matched ? ]] = "No", "", HYPERLINK(Matching_Tb[[#This Row],[TT Link]], "Link")))</f>
        <v/>
      </c>
      <c r="M17" s="123" t="str">
        <f aca="false">IF(Matching_Tb[[#This Row],[Comment]] = "", "", VLOOKUP(Matching_Tb[[#This Row],[Comment]],Disclaimers!$A$3:$C$100, 3, 0))</f>
        <v/>
      </c>
    </row>
    <row r="18" customFormat="false" ht="14.25" hidden="false" customHeight="false" outlineLevel="0" collapsed="false">
      <c r="A18" s="118" t="str">
        <f aca="false">IF('Matching Sheet'!A18 = "", "", 'Matching Sheet'!A18)</f>
        <v/>
      </c>
      <c r="B18" s="119" t="str">
        <f aca="false">IF('Matching Sheet'!B18 = "", "", 'Matching Sheet'!B18)</f>
        <v/>
      </c>
      <c r="C18" s="119" t="str">
        <f aca="false">IF('Matching Sheet'!C18 = "", "", 'Matching Sheet'!C18)</f>
        <v/>
      </c>
      <c r="D18" s="119" t="str">
        <f aca="false">IF('Matching Sheet'!D18 = "", "", 'Matching Sheet'!D18)</f>
        <v/>
      </c>
      <c r="E18" s="119" t="str">
        <f aca="false">IF('Matching Sheet'!E18 = "", "", 'Matching Sheet'!E18)</f>
        <v/>
      </c>
      <c r="F18" s="119" t="str">
        <f aca="false">IF(Matching_Tb[[#This Row],[CMT  Set-up]] = "", "", Matching_Tb[[#This Row],[CMT  Set-up]])</f>
        <v/>
      </c>
      <c r="G18" s="120" t="str">
        <f aca="false">IF(Matching_Tb[[#This Row],[Start date]] = "", "", Matching_Tb[[#This Row],[Start date]])</f>
        <v/>
      </c>
      <c r="H18" s="120" t="str">
        <f aca="false">IF(Matching_Tb[[#This Row],[End date]] = "", "", Matching_Tb[[#This Row],[End date]])</f>
        <v/>
      </c>
      <c r="I18" s="121" t="str">
        <f aca="false">IF(Matching_Tb[[#This Row],[Competitor URL]] = "", "", HYPERLINK(Matching_Tb[[#This Row],[Competitor URL]], "Link"))</f>
        <v/>
      </c>
      <c r="J18" s="122" t="str">
        <f aca="false">IF(Retail_Tb[[#This Row],[MKPL]] = "", "", IF(Matching_Tb[[#This Row],[Promo code]] = "", "N/A", Matching_Tb[[#This Row],[Promo code]]))</f>
        <v/>
      </c>
      <c r="K18" s="119" t="str">
        <f aca="false">IF(Matching_Tb[[#This Row],[Offer Details]] = "", "", Matching_Tb[[#This Row],[Offer Details]])</f>
        <v/>
      </c>
      <c r="L18" s="121" t="str">
        <f aca="false">IF(Matching_Tb[[#This Row],[TT Link]] = "", "", IF(Matching_Tb[[#This Row],[Can be matched ? ]] = "No", "", HYPERLINK(Matching_Tb[[#This Row],[TT Link]], "Link")))</f>
        <v/>
      </c>
      <c r="M18" s="123" t="str">
        <f aca="false">IF(Matching_Tb[[#This Row],[Comment]] = "", "", VLOOKUP(Matching_Tb[[#This Row],[Comment]],Disclaimers!$A$3:$C$100, 3, 0))</f>
        <v/>
      </c>
    </row>
    <row r="19" customFormat="false" ht="14.25" hidden="false" customHeight="false" outlineLevel="0" collapsed="false">
      <c r="A19" s="118" t="str">
        <f aca="false">IF('Matching Sheet'!A19 = "", "", 'Matching Sheet'!A19)</f>
        <v/>
      </c>
      <c r="B19" s="119" t="str">
        <f aca="false">IF('Matching Sheet'!B19 = "", "", 'Matching Sheet'!B19)</f>
        <v/>
      </c>
      <c r="C19" s="119" t="str">
        <f aca="false">IF('Matching Sheet'!C19 = "", "", 'Matching Sheet'!C19)</f>
        <v/>
      </c>
      <c r="D19" s="119" t="str">
        <f aca="false">IF('Matching Sheet'!D19 = "", "", 'Matching Sheet'!D19)</f>
        <v/>
      </c>
      <c r="E19" s="119" t="str">
        <f aca="false">IF('Matching Sheet'!E19 = "", "", 'Matching Sheet'!E19)</f>
        <v/>
      </c>
      <c r="F19" s="119" t="str">
        <f aca="false">IF(Matching_Tb[[#This Row],[CMT  Set-up]] = "", "", Matching_Tb[[#This Row],[CMT  Set-up]])</f>
        <v/>
      </c>
      <c r="G19" s="120" t="str">
        <f aca="false">IF(Matching_Tb[[#This Row],[Start date]] = "", "", Matching_Tb[[#This Row],[Start date]])</f>
        <v/>
      </c>
      <c r="H19" s="120" t="str">
        <f aca="false">IF(Matching_Tb[[#This Row],[End date]] = "", "", Matching_Tb[[#This Row],[End date]])</f>
        <v/>
      </c>
      <c r="I19" s="121" t="str">
        <f aca="false">IF(Matching_Tb[[#This Row],[Competitor URL]] = "", "", HYPERLINK(Matching_Tb[[#This Row],[Competitor URL]], "Link"))</f>
        <v/>
      </c>
      <c r="J19" s="122" t="str">
        <f aca="false">IF(Retail_Tb[[#This Row],[MKPL]] = "", "", IF(Matching_Tb[[#This Row],[Promo code]] = "", "N/A", Matching_Tb[[#This Row],[Promo code]]))</f>
        <v/>
      </c>
      <c r="K19" s="119" t="str">
        <f aca="false">IF(Matching_Tb[[#This Row],[Offer Details]] = "", "", Matching_Tb[[#This Row],[Offer Details]])</f>
        <v/>
      </c>
      <c r="L19" s="121" t="str">
        <f aca="false">IF(Matching_Tb[[#This Row],[TT Link]] = "", "", IF(Matching_Tb[[#This Row],[Can be matched ? ]] = "No", "", HYPERLINK(Matching_Tb[[#This Row],[TT Link]], "Link")))</f>
        <v/>
      </c>
      <c r="M19" s="123" t="str">
        <f aca="false">IF(Matching_Tb[[#This Row],[Comment]] = "", "", VLOOKUP(Matching_Tb[[#This Row],[Comment]],Disclaimers!$A$3:$C$100, 3, 0))</f>
        <v/>
      </c>
    </row>
    <row r="20" customFormat="false" ht="14.25" hidden="false" customHeight="false" outlineLevel="0" collapsed="false">
      <c r="A20" s="118" t="str">
        <f aca="false">IF('Matching Sheet'!A20 = "", "", 'Matching Sheet'!A20)</f>
        <v/>
      </c>
      <c r="B20" s="119" t="str">
        <f aca="false">IF('Matching Sheet'!B20 = "", "", 'Matching Sheet'!B20)</f>
        <v/>
      </c>
      <c r="C20" s="119" t="str">
        <f aca="false">IF('Matching Sheet'!C20 = "", "", 'Matching Sheet'!C20)</f>
        <v/>
      </c>
      <c r="D20" s="119" t="str">
        <f aca="false">IF('Matching Sheet'!D20 = "", "", 'Matching Sheet'!D20)</f>
        <v/>
      </c>
      <c r="E20" s="119" t="str">
        <f aca="false">IF('Matching Sheet'!E20 = "", "", 'Matching Sheet'!E20)</f>
        <v/>
      </c>
      <c r="F20" s="119" t="str">
        <f aca="false">IF(Matching_Tb[[#This Row],[CMT  Set-up]] = "", "", Matching_Tb[[#This Row],[CMT  Set-up]])</f>
        <v/>
      </c>
      <c r="G20" s="120" t="str">
        <f aca="false">IF(Matching_Tb[[#This Row],[Start date]] = "", "", Matching_Tb[[#This Row],[Start date]])</f>
        <v/>
      </c>
      <c r="H20" s="120" t="str">
        <f aca="false">IF(Matching_Tb[[#This Row],[End date]] = "", "", Matching_Tb[[#This Row],[End date]])</f>
        <v/>
      </c>
      <c r="I20" s="121" t="str">
        <f aca="false">IF(Matching_Tb[[#This Row],[Competitor URL]] = "", "", HYPERLINK(Matching_Tb[[#This Row],[Competitor URL]], "Link"))</f>
        <v/>
      </c>
      <c r="J20" s="122" t="str">
        <f aca="false">IF(Retail_Tb[[#This Row],[MKPL]] = "", "", IF(Matching_Tb[[#This Row],[Promo code]] = "", "N/A", Matching_Tb[[#This Row],[Promo code]]))</f>
        <v/>
      </c>
      <c r="K20" s="119" t="str">
        <f aca="false">IF(Matching_Tb[[#This Row],[Offer Details]] = "", "", Matching_Tb[[#This Row],[Offer Details]])</f>
        <v/>
      </c>
      <c r="L20" s="121" t="str">
        <f aca="false">IF(Matching_Tb[[#This Row],[TT Link]] = "", "", IF(Matching_Tb[[#This Row],[Can be matched ? ]] = "No", "", HYPERLINK(Matching_Tb[[#This Row],[TT Link]], "Link")))</f>
        <v/>
      </c>
      <c r="M20" s="123" t="str">
        <f aca="false">IF(Matching_Tb[[#This Row],[Comment]] = "", "", VLOOKUP(Matching_Tb[[#This Row],[Comment]],Disclaimers!$A$3:$C$100, 3, 0))</f>
        <v/>
      </c>
    </row>
    <row r="21" customFormat="false" ht="14.25" hidden="false" customHeight="false" outlineLevel="0" collapsed="false">
      <c r="A21" s="118" t="str">
        <f aca="false">IF('Matching Sheet'!A21 = "", "", 'Matching Sheet'!A21)</f>
        <v/>
      </c>
      <c r="B21" s="119" t="str">
        <f aca="false">IF('Matching Sheet'!B21 = "", "", 'Matching Sheet'!B21)</f>
        <v/>
      </c>
      <c r="C21" s="119" t="str">
        <f aca="false">IF('Matching Sheet'!C21 = "", "", 'Matching Sheet'!C21)</f>
        <v/>
      </c>
      <c r="D21" s="119" t="str">
        <f aca="false">IF('Matching Sheet'!D21 = "", "", 'Matching Sheet'!D21)</f>
        <v/>
      </c>
      <c r="E21" s="119" t="str">
        <f aca="false">IF('Matching Sheet'!E21 = "", "", 'Matching Sheet'!E21)</f>
        <v/>
      </c>
      <c r="F21" s="119" t="str">
        <f aca="false">IF(Matching_Tb[[#This Row],[CMT  Set-up]] = "", "", Matching_Tb[[#This Row],[CMT  Set-up]])</f>
        <v/>
      </c>
      <c r="G21" s="120" t="str">
        <f aca="false">IF(Matching_Tb[[#This Row],[Start date]] = "", "", Matching_Tb[[#This Row],[Start date]])</f>
        <v/>
      </c>
      <c r="H21" s="120" t="str">
        <f aca="false">IF(Matching_Tb[[#This Row],[End date]] = "", "", Matching_Tb[[#This Row],[End date]])</f>
        <v/>
      </c>
      <c r="I21" s="121" t="str">
        <f aca="false">IF(Matching_Tb[[#This Row],[Competitor URL]] = "", "", HYPERLINK(Matching_Tb[[#This Row],[Competitor URL]], "Link"))</f>
        <v/>
      </c>
      <c r="J21" s="122" t="str">
        <f aca="false">IF(Retail_Tb[[#This Row],[MKPL]] = "", "", IF(Matching_Tb[[#This Row],[Promo code]] = "", "N/A", Matching_Tb[[#This Row],[Promo code]]))</f>
        <v/>
      </c>
      <c r="K21" s="119" t="str">
        <f aca="false">IF(Matching_Tb[[#This Row],[Offer Details]] = "", "", Matching_Tb[[#This Row],[Offer Details]])</f>
        <v/>
      </c>
      <c r="L21" s="121" t="str">
        <f aca="false">IF(Matching_Tb[[#This Row],[TT Link]] = "", "", IF(Matching_Tb[[#This Row],[Can be matched ? ]] = "No", "", HYPERLINK(Matching_Tb[[#This Row],[TT Link]], "Link")))</f>
        <v/>
      </c>
      <c r="M21" s="123" t="str">
        <f aca="false">IF(Matching_Tb[[#This Row],[Comment]] = "", "", VLOOKUP(Matching_Tb[[#This Row],[Comment]],Disclaimers!$A$3:$C$100, 3, 0))</f>
        <v/>
      </c>
    </row>
    <row r="22" customFormat="false" ht="14.25" hidden="false" customHeight="false" outlineLevel="0" collapsed="false">
      <c r="A22" s="118" t="str">
        <f aca="false">IF('Matching Sheet'!A22 = "", "", 'Matching Sheet'!A22)</f>
        <v/>
      </c>
      <c r="B22" s="119" t="str">
        <f aca="false">IF('Matching Sheet'!B22 = "", "", 'Matching Sheet'!B22)</f>
        <v/>
      </c>
      <c r="C22" s="119" t="str">
        <f aca="false">IF('Matching Sheet'!C22 = "", "", 'Matching Sheet'!C22)</f>
        <v/>
      </c>
      <c r="D22" s="119" t="str">
        <f aca="false">IF('Matching Sheet'!D22 = "", "", 'Matching Sheet'!D22)</f>
        <v/>
      </c>
      <c r="E22" s="119" t="str">
        <f aca="false">IF('Matching Sheet'!E22 = "", "", 'Matching Sheet'!E22)</f>
        <v/>
      </c>
      <c r="F22" s="119" t="str">
        <f aca="false">IF(Matching_Tb[[#This Row],[CMT  Set-up]] = "", "", Matching_Tb[[#This Row],[CMT  Set-up]])</f>
        <v/>
      </c>
      <c r="G22" s="120" t="str">
        <f aca="false">IF(Matching_Tb[[#This Row],[Start date]] = "", "", Matching_Tb[[#This Row],[Start date]])</f>
        <v/>
      </c>
      <c r="H22" s="120" t="str">
        <f aca="false">IF(Matching_Tb[[#This Row],[End date]] = "", "", Matching_Tb[[#This Row],[End date]])</f>
        <v/>
      </c>
      <c r="I22" s="121" t="str">
        <f aca="false">IF(Matching_Tb[[#This Row],[Competitor URL]] = "", "", HYPERLINK(Matching_Tb[[#This Row],[Competitor URL]], "Link"))</f>
        <v/>
      </c>
      <c r="J22" s="122" t="str">
        <f aca="false">IF(Retail_Tb[[#This Row],[MKPL]] = "", "", IF(Matching_Tb[[#This Row],[Promo code]] = "", "N/A", Matching_Tb[[#This Row],[Promo code]]))</f>
        <v/>
      </c>
      <c r="K22" s="119" t="str">
        <f aca="false">IF(Matching_Tb[[#This Row],[Offer Details]] = "", "", Matching_Tb[[#This Row],[Offer Details]])</f>
        <v/>
      </c>
      <c r="L22" s="121" t="str">
        <f aca="false">IF(Matching_Tb[[#This Row],[TT Link]] = "", "", IF(Matching_Tb[[#This Row],[Can be matched ? ]] = "No", "", HYPERLINK(Matching_Tb[[#This Row],[TT Link]], "Link")))</f>
        <v/>
      </c>
      <c r="M22" s="123" t="str">
        <f aca="false">IF(Matching_Tb[[#This Row],[Comment]] = "", "", VLOOKUP(Matching_Tb[[#This Row],[Comment]],Disclaimers!$A$3:$C$100, 3, 0))</f>
        <v/>
      </c>
    </row>
    <row r="23" customFormat="false" ht="14.25" hidden="false" customHeight="false" outlineLevel="0" collapsed="false">
      <c r="A23" s="118" t="str">
        <f aca="false">IF('Matching Sheet'!A23 = "", "", 'Matching Sheet'!A23)</f>
        <v/>
      </c>
      <c r="B23" s="119" t="str">
        <f aca="false">IF('Matching Sheet'!B23 = "", "", 'Matching Sheet'!B23)</f>
        <v/>
      </c>
      <c r="C23" s="119" t="str">
        <f aca="false">IF('Matching Sheet'!C23 = "", "", 'Matching Sheet'!C23)</f>
        <v/>
      </c>
      <c r="D23" s="119" t="str">
        <f aca="false">IF('Matching Sheet'!D23 = "", "", 'Matching Sheet'!D23)</f>
        <v/>
      </c>
      <c r="E23" s="119" t="str">
        <f aca="false">IF('Matching Sheet'!E23 = "", "", 'Matching Sheet'!E23)</f>
        <v/>
      </c>
      <c r="F23" s="119" t="str">
        <f aca="false">IF(Matching_Tb[[#This Row],[CMT  Set-up]] = "", "", Matching_Tb[[#This Row],[CMT  Set-up]])</f>
        <v/>
      </c>
      <c r="G23" s="120" t="str">
        <f aca="false">IF(Matching_Tb[[#This Row],[Start date]] = "", "", Matching_Tb[[#This Row],[Start date]])</f>
        <v/>
      </c>
      <c r="H23" s="120" t="str">
        <f aca="false">IF(Matching_Tb[[#This Row],[End date]] = "", "", Matching_Tb[[#This Row],[End date]])</f>
        <v/>
      </c>
      <c r="I23" s="121" t="str">
        <f aca="false">IF(Matching_Tb[[#This Row],[Competitor URL]] = "", "", HYPERLINK(Matching_Tb[[#This Row],[Competitor URL]], "Link"))</f>
        <v/>
      </c>
      <c r="J23" s="122" t="str">
        <f aca="false">IF(Retail_Tb[[#This Row],[MKPL]] = "", "", IF(Matching_Tb[[#This Row],[Promo code]] = "", "N/A", Matching_Tb[[#This Row],[Promo code]]))</f>
        <v/>
      </c>
      <c r="K23" s="119" t="str">
        <f aca="false">IF(Matching_Tb[[#This Row],[Offer Details]] = "", "", Matching_Tb[[#This Row],[Offer Details]])</f>
        <v/>
      </c>
      <c r="L23" s="121" t="str">
        <f aca="false">IF(Matching_Tb[[#This Row],[TT Link]] = "", "", IF(Matching_Tb[[#This Row],[Can be matched ? ]] = "No", "", HYPERLINK(Matching_Tb[[#This Row],[TT Link]], "Link")))</f>
        <v/>
      </c>
      <c r="M23" s="123" t="str">
        <f aca="false">IF(Matching_Tb[[#This Row],[Comment]] = "", "", VLOOKUP(Matching_Tb[[#This Row],[Comment]],Disclaimers!$A$3:$C$100, 3, 0))</f>
        <v/>
      </c>
    </row>
    <row r="24" customFormat="false" ht="14.25" hidden="false" customHeight="false" outlineLevel="0" collapsed="false">
      <c r="A24" s="118" t="str">
        <f aca="false">IF('Matching Sheet'!A24 = "", "", 'Matching Sheet'!A24)</f>
        <v/>
      </c>
      <c r="B24" s="119" t="str">
        <f aca="false">IF('Matching Sheet'!B24 = "", "", 'Matching Sheet'!B24)</f>
        <v/>
      </c>
      <c r="C24" s="119" t="str">
        <f aca="false">IF('Matching Sheet'!C24 = "", "", 'Matching Sheet'!C24)</f>
        <v/>
      </c>
      <c r="D24" s="119" t="str">
        <f aca="false">IF('Matching Sheet'!D24 = "", "", 'Matching Sheet'!D24)</f>
        <v/>
      </c>
      <c r="E24" s="119" t="str">
        <f aca="false">IF('Matching Sheet'!E24 = "", "", 'Matching Sheet'!E24)</f>
        <v/>
      </c>
      <c r="F24" s="119" t="str">
        <f aca="false">IF(Matching_Tb[[#This Row],[CMT  Set-up]] = "", "", Matching_Tb[[#This Row],[CMT  Set-up]])</f>
        <v/>
      </c>
      <c r="G24" s="120" t="str">
        <f aca="false">IF(Matching_Tb[[#This Row],[Start date]] = "", "", Matching_Tb[[#This Row],[Start date]])</f>
        <v/>
      </c>
      <c r="H24" s="120" t="str">
        <f aca="false">IF(Matching_Tb[[#This Row],[End date]] = "", "", Matching_Tb[[#This Row],[End date]])</f>
        <v/>
      </c>
      <c r="I24" s="121" t="str">
        <f aca="false">IF(Matching_Tb[[#This Row],[Competitor URL]] = "", "", HYPERLINK(Matching_Tb[[#This Row],[Competitor URL]], "Link"))</f>
        <v/>
      </c>
      <c r="J24" s="122" t="str">
        <f aca="false">IF(Retail_Tb[[#This Row],[MKPL]] = "", "", IF(Matching_Tb[[#This Row],[Promo code]] = "", "N/A", Matching_Tb[[#This Row],[Promo code]]))</f>
        <v/>
      </c>
      <c r="K24" s="119" t="str">
        <f aca="false">IF(Matching_Tb[[#This Row],[Offer Details]] = "", "", Matching_Tb[[#This Row],[Offer Details]])</f>
        <v/>
      </c>
      <c r="L24" s="121" t="str">
        <f aca="false">IF(Matching_Tb[[#This Row],[TT Link]] = "", "", IF(Matching_Tb[[#This Row],[Can be matched ? ]] = "No", "", HYPERLINK(Matching_Tb[[#This Row],[TT Link]], "Link")))</f>
        <v/>
      </c>
      <c r="M24" s="123" t="str">
        <f aca="false">IF(Matching_Tb[[#This Row],[Comment]] = "", "", VLOOKUP(Matching_Tb[[#This Row],[Comment]],Disclaimers!$A$3:$C$100, 3, 0))</f>
        <v/>
      </c>
    </row>
    <row r="25" customFormat="false" ht="14.25" hidden="false" customHeight="false" outlineLevel="0" collapsed="false">
      <c r="A25" s="118" t="str">
        <f aca="false">IF('Matching Sheet'!A25 = "", "", 'Matching Sheet'!A25)</f>
        <v/>
      </c>
      <c r="B25" s="119" t="str">
        <f aca="false">IF('Matching Sheet'!B25 = "", "", 'Matching Sheet'!B25)</f>
        <v/>
      </c>
      <c r="C25" s="119" t="str">
        <f aca="false">IF('Matching Sheet'!C25 = "", "", 'Matching Sheet'!C25)</f>
        <v/>
      </c>
      <c r="D25" s="119" t="str">
        <f aca="false">IF('Matching Sheet'!D25 = "", "", 'Matching Sheet'!D25)</f>
        <v/>
      </c>
      <c r="E25" s="119" t="str">
        <f aca="false">IF('Matching Sheet'!E25 = "", "", 'Matching Sheet'!E25)</f>
        <v/>
      </c>
      <c r="F25" s="119" t="str">
        <f aca="false">IF(Matching_Tb[[#This Row],[CMT  Set-up]] = "", "", Matching_Tb[[#This Row],[CMT  Set-up]])</f>
        <v/>
      </c>
      <c r="G25" s="120" t="str">
        <f aca="false">IF(Matching_Tb[[#This Row],[Start date]] = "", "", Matching_Tb[[#This Row],[Start date]])</f>
        <v/>
      </c>
      <c r="H25" s="120" t="str">
        <f aca="false">IF(Matching_Tb[[#This Row],[End date]] = "", "", Matching_Tb[[#This Row],[End date]])</f>
        <v/>
      </c>
      <c r="I25" s="121" t="str">
        <f aca="false">IF(Matching_Tb[[#This Row],[Competitor URL]] = "", "", HYPERLINK(Matching_Tb[[#This Row],[Competitor URL]], "Link"))</f>
        <v/>
      </c>
      <c r="J25" s="122" t="str">
        <f aca="false">IF(Retail_Tb[[#This Row],[MKPL]] = "", "", IF(Matching_Tb[[#This Row],[Promo code]] = "", "N/A", Matching_Tb[[#This Row],[Promo code]]))</f>
        <v/>
      </c>
      <c r="K25" s="119" t="str">
        <f aca="false">IF(Matching_Tb[[#This Row],[Offer Details]] = "", "", Matching_Tb[[#This Row],[Offer Details]])</f>
        <v/>
      </c>
      <c r="L25" s="121" t="str">
        <f aca="false">IF(Matching_Tb[[#This Row],[TT Link]] = "", "", IF(Matching_Tb[[#This Row],[Can be matched ? ]] = "No", "", HYPERLINK(Matching_Tb[[#This Row],[TT Link]], "Link")))</f>
        <v/>
      </c>
      <c r="M25" s="123" t="str">
        <f aca="false">IF(Matching_Tb[[#This Row],[Comment]] = "", "", VLOOKUP(Matching_Tb[[#This Row],[Comment]],Disclaimers!$A$3:$C$100, 3, 0))</f>
        <v/>
      </c>
    </row>
    <row r="26" customFormat="false" ht="14.25" hidden="false" customHeight="false" outlineLevel="0" collapsed="false">
      <c r="A26" s="118" t="str">
        <f aca="false">IF('Matching Sheet'!A26 = "", "", 'Matching Sheet'!A26)</f>
        <v/>
      </c>
      <c r="B26" s="119" t="str">
        <f aca="false">IF('Matching Sheet'!B26 = "", "", 'Matching Sheet'!B26)</f>
        <v/>
      </c>
      <c r="C26" s="119" t="str">
        <f aca="false">IF('Matching Sheet'!C26 = "", "", 'Matching Sheet'!C26)</f>
        <v/>
      </c>
      <c r="D26" s="119" t="str">
        <f aca="false">IF('Matching Sheet'!D26 = "", "", 'Matching Sheet'!D26)</f>
        <v/>
      </c>
      <c r="E26" s="119" t="str">
        <f aca="false">IF('Matching Sheet'!E26 = "", "", 'Matching Sheet'!E26)</f>
        <v/>
      </c>
      <c r="F26" s="119" t="str">
        <f aca="false">IF(Matching_Tb[[#This Row],[CMT  Set-up]] = "", "", Matching_Tb[[#This Row],[CMT  Set-up]])</f>
        <v/>
      </c>
      <c r="G26" s="120" t="str">
        <f aca="false">IF(Matching_Tb[[#This Row],[Start date]] = "", "", Matching_Tb[[#This Row],[Start date]])</f>
        <v/>
      </c>
      <c r="H26" s="120" t="str">
        <f aca="false">IF(Matching_Tb[[#This Row],[End date]] = "", "", Matching_Tb[[#This Row],[End date]])</f>
        <v/>
      </c>
      <c r="I26" s="121" t="str">
        <f aca="false">IF(Matching_Tb[[#This Row],[Competitor URL]] = "", "", HYPERLINK(Matching_Tb[[#This Row],[Competitor URL]], "Link"))</f>
        <v/>
      </c>
      <c r="J26" s="122" t="str">
        <f aca="false">IF(Retail_Tb[[#This Row],[MKPL]] = "", "", IF(Matching_Tb[[#This Row],[Promo code]] = "", "N/A", Matching_Tb[[#This Row],[Promo code]]))</f>
        <v/>
      </c>
      <c r="K26" s="119" t="str">
        <f aca="false">IF(Matching_Tb[[#This Row],[Offer Details]] = "", "", Matching_Tb[[#This Row],[Offer Details]])</f>
        <v/>
      </c>
      <c r="L26" s="121" t="str">
        <f aca="false">IF(Matching_Tb[[#This Row],[TT Link]] = "", "", IF(Matching_Tb[[#This Row],[Can be matched ? ]] = "No", "", HYPERLINK(Matching_Tb[[#This Row],[TT Link]], "Link")))</f>
        <v/>
      </c>
      <c r="M26" s="123" t="str">
        <f aca="false">IF(Matching_Tb[[#This Row],[Comment]] = "", "", VLOOKUP(Matching_Tb[[#This Row],[Comment]],Disclaimers!$A$3:$C$100, 3, 0))</f>
        <v/>
      </c>
    </row>
    <row r="27" customFormat="false" ht="14.25" hidden="false" customHeight="false" outlineLevel="0" collapsed="false">
      <c r="A27" s="118" t="str">
        <f aca="false">IF('Matching Sheet'!A27 = "", "", 'Matching Sheet'!A27)</f>
        <v/>
      </c>
      <c r="B27" s="119" t="str">
        <f aca="false">IF('Matching Sheet'!B27 = "", "", 'Matching Sheet'!B27)</f>
        <v/>
      </c>
      <c r="C27" s="119" t="str">
        <f aca="false">IF('Matching Sheet'!C27 = "", "", 'Matching Sheet'!C27)</f>
        <v/>
      </c>
      <c r="D27" s="119" t="str">
        <f aca="false">IF('Matching Sheet'!D27 = "", "", 'Matching Sheet'!D27)</f>
        <v/>
      </c>
      <c r="E27" s="119" t="str">
        <f aca="false">IF('Matching Sheet'!E27 = "", "", 'Matching Sheet'!E27)</f>
        <v/>
      </c>
      <c r="F27" s="119" t="str">
        <f aca="false">IF(Matching_Tb[[#This Row],[CMT  Set-up]] = "", "", Matching_Tb[[#This Row],[CMT  Set-up]])</f>
        <v/>
      </c>
      <c r="G27" s="120" t="str">
        <f aca="false">IF(Matching_Tb[[#This Row],[Start date]] = "", "", Matching_Tb[[#This Row],[Start date]])</f>
        <v/>
      </c>
      <c r="H27" s="120" t="str">
        <f aca="false">IF(Matching_Tb[[#This Row],[End date]] = "", "", Matching_Tb[[#This Row],[End date]])</f>
        <v/>
      </c>
      <c r="I27" s="121" t="str">
        <f aca="false">IF(Matching_Tb[[#This Row],[Competitor URL]] = "", "", HYPERLINK(Matching_Tb[[#This Row],[Competitor URL]], "Link"))</f>
        <v/>
      </c>
      <c r="J27" s="122" t="str">
        <f aca="false">IF(Retail_Tb[[#This Row],[MKPL]] = "", "", IF(Matching_Tb[[#This Row],[Promo code]] = "", "N/A", Matching_Tb[[#This Row],[Promo code]]))</f>
        <v/>
      </c>
      <c r="K27" s="119" t="str">
        <f aca="false">IF(Matching_Tb[[#This Row],[Offer Details]] = "", "", Matching_Tb[[#This Row],[Offer Details]])</f>
        <v/>
      </c>
      <c r="L27" s="121" t="str">
        <f aca="false">IF(Matching_Tb[[#This Row],[TT Link]] = "", "", IF(Matching_Tb[[#This Row],[Can be matched ? ]] = "No", "", HYPERLINK(Matching_Tb[[#This Row],[TT Link]], "Link")))</f>
        <v/>
      </c>
      <c r="M27" s="123" t="str">
        <f aca="false">IF(Matching_Tb[[#This Row],[Comment]] = "", "", VLOOKUP(Matching_Tb[[#This Row],[Comment]],Disclaimers!$A$3:$C$100, 3, 0))</f>
        <v/>
      </c>
    </row>
    <row r="28" customFormat="false" ht="14.25" hidden="false" customHeight="false" outlineLevel="0" collapsed="false">
      <c r="A28" s="118" t="str">
        <f aca="false">IF('Matching Sheet'!A28 = "", "", 'Matching Sheet'!A28)</f>
        <v/>
      </c>
      <c r="B28" s="119" t="str">
        <f aca="false">IF('Matching Sheet'!B28 = "", "", 'Matching Sheet'!B28)</f>
        <v/>
      </c>
      <c r="C28" s="119" t="str">
        <f aca="false">IF('Matching Sheet'!C28 = "", "", 'Matching Sheet'!C28)</f>
        <v/>
      </c>
      <c r="D28" s="119" t="str">
        <f aca="false">IF('Matching Sheet'!D28 = "", "", 'Matching Sheet'!D28)</f>
        <v/>
      </c>
      <c r="E28" s="119" t="str">
        <f aca="false">IF('Matching Sheet'!E28 = "", "", 'Matching Sheet'!E28)</f>
        <v/>
      </c>
      <c r="F28" s="119" t="str">
        <f aca="false">IF(Matching_Tb[[#This Row],[CMT  Set-up]] = "", "", Matching_Tb[[#This Row],[CMT  Set-up]])</f>
        <v/>
      </c>
      <c r="G28" s="120" t="str">
        <f aca="false">IF(Matching_Tb[[#This Row],[Start date]] = "", "", Matching_Tb[[#This Row],[Start date]])</f>
        <v/>
      </c>
      <c r="H28" s="120" t="str">
        <f aca="false">IF(Matching_Tb[[#This Row],[End date]] = "", "", Matching_Tb[[#This Row],[End date]])</f>
        <v/>
      </c>
      <c r="I28" s="121" t="str">
        <f aca="false">IF(Matching_Tb[[#This Row],[Competitor URL]] = "", "", HYPERLINK(Matching_Tb[[#This Row],[Competitor URL]], "Link"))</f>
        <v/>
      </c>
      <c r="J28" s="122" t="str">
        <f aca="false">IF(Retail_Tb[[#This Row],[MKPL]] = "", "", IF(Matching_Tb[[#This Row],[Promo code]] = "", "N/A", Matching_Tb[[#This Row],[Promo code]]))</f>
        <v/>
      </c>
      <c r="K28" s="119" t="str">
        <f aca="false">IF(Matching_Tb[[#This Row],[Offer Details]] = "", "", Matching_Tb[[#This Row],[Offer Details]])</f>
        <v/>
      </c>
      <c r="L28" s="121" t="str">
        <f aca="false">IF(Matching_Tb[[#This Row],[TT Link]] = "", "", IF(Matching_Tb[[#This Row],[Can be matched ? ]] = "No", "", HYPERLINK(Matching_Tb[[#This Row],[TT Link]], "Link")))</f>
        <v/>
      </c>
      <c r="M28" s="123" t="str">
        <f aca="false">IF(Matching_Tb[[#This Row],[Comment]] = "", "", VLOOKUP(Matching_Tb[[#This Row],[Comment]],Disclaimers!$A$3:$C$100, 3, 0))</f>
        <v/>
      </c>
    </row>
    <row r="29" customFormat="false" ht="14.25" hidden="false" customHeight="false" outlineLevel="0" collapsed="false">
      <c r="A29" s="124"/>
      <c r="B29" s="125" t="str">
        <f aca="false">IF('Matching Sheet'!B29 = "", "", 'Matching Sheet'!B29)</f>
        <v/>
      </c>
      <c r="C29" s="126" t="str">
        <f aca="false">IF('Matching Sheet'!C29 = "", "", 'Matching Sheet'!C29)</f>
        <v/>
      </c>
      <c r="D29" s="126" t="str">
        <f aca="false">IF('Matching Sheet'!D29 = "", "", 'Matching Sheet'!D29)</f>
        <v/>
      </c>
      <c r="E29" s="126" t="str">
        <f aca="false">IF('Matching Sheet'!E29 = "", "", 'Matching Sheet'!E29)</f>
        <v/>
      </c>
      <c r="F29" s="126" t="str">
        <f aca="false">IF(Matching_Tb[[#This Row],[CMT  Set-up]] = "", "", Matching_Tb[[#This Row],[CMT  Set-up]])</f>
        <v/>
      </c>
      <c r="G29" s="120" t="str">
        <f aca="false">IF(Matching_Tb[[#This Row],[Start date]] = "", "", Matching_Tb[[#This Row],[Start date]])</f>
        <v/>
      </c>
      <c r="H29" s="120" t="str">
        <f aca="false">IF(Matching_Tb[[#This Row],[End date]] = "", "", Matching_Tb[[#This Row],[End date]])</f>
        <v/>
      </c>
      <c r="I29" s="127" t="str">
        <f aca="false">IF(Matching_Tb[[#This Row],[Competitor URL]] = "", "", HYPERLINK(Matching_Tb[[#This Row],[Competitor URL]], "Link"))</f>
        <v/>
      </c>
      <c r="J29" s="122" t="str">
        <f aca="false">IF(Retail_Tb[[#This Row],[MKPL]] = "", "", IF(Matching_Tb[[#This Row],[Promo code]] = "", "N/A", Matching_Tb[[#This Row],[Promo code]]))</f>
        <v/>
      </c>
      <c r="K29" s="126" t="str">
        <f aca="false">IF(Matching_Tb[[#This Row],[Offer Details]] = "", "", Matching_Tb[[#This Row],[Offer Details]])</f>
        <v/>
      </c>
      <c r="L29" s="121" t="str">
        <f aca="false">IF(Matching_Tb[[#This Row],[TT Link]] = "", "", IF(Matching_Tb[[#This Row],[Can be matched ? ]] = "No", "", HYPERLINK(Matching_Tb[[#This Row],[TT Link]], "Link")))</f>
        <v/>
      </c>
      <c r="M29" s="128" t="str">
        <f aca="false">IF(Matching_Tb[[#This Row],[Comment]] = "", "", VLOOKUP(Matching_Tb[[#This Row],[Comment]],Disclaimers!$A$3:$C$100, 3, 0))</f>
        <v/>
      </c>
    </row>
    <row r="30" customFormat="false" ht="14.25" hidden="false" customHeight="false" outlineLevel="0" collapsed="false">
      <c r="A30" s="124"/>
      <c r="B30" s="125" t="str">
        <f aca="false">IF('Matching Sheet'!B30 = "", "", 'Matching Sheet'!B30)</f>
        <v/>
      </c>
      <c r="C30" s="126" t="str">
        <f aca="false">IF('Matching Sheet'!C30 = "", "", 'Matching Sheet'!C30)</f>
        <v/>
      </c>
      <c r="D30" s="126" t="str">
        <f aca="false">IF('Matching Sheet'!D30 = "", "", 'Matching Sheet'!D30)</f>
        <v/>
      </c>
      <c r="E30" s="126" t="str">
        <f aca="false">IF('Matching Sheet'!E30 = "", "", 'Matching Sheet'!E30)</f>
        <v/>
      </c>
      <c r="F30" s="126" t="str">
        <f aca="false">IF(Matching_Tb[[#This Row],[CMT  Set-up]] = "", "", Matching_Tb[[#This Row],[CMT  Set-up]])</f>
        <v/>
      </c>
      <c r="G30" s="120" t="str">
        <f aca="false">IF(Matching_Tb[[#This Row],[Start date]] = "", "", Matching_Tb[[#This Row],[Start date]])</f>
        <v/>
      </c>
      <c r="H30" s="120" t="str">
        <f aca="false">IF(Matching_Tb[[#This Row],[End date]] = "", "", Matching_Tb[[#This Row],[End date]])</f>
        <v/>
      </c>
      <c r="I30" s="127" t="str">
        <f aca="false">IF(Matching_Tb[[#This Row],[Competitor URL]] = "", "", HYPERLINK(Matching_Tb[[#This Row],[Competitor URL]], "Link"))</f>
        <v/>
      </c>
      <c r="J30" s="122" t="str">
        <f aca="false">IF(Retail_Tb[[#This Row],[MKPL]] = "", "", IF(Matching_Tb[[#This Row],[Promo code]] = "", "N/A", Matching_Tb[[#This Row],[Promo code]]))</f>
        <v/>
      </c>
      <c r="K30" s="126" t="str">
        <f aca="false">IF(Matching_Tb[[#This Row],[Offer Details]] = "", "", Matching_Tb[[#This Row],[Offer Details]])</f>
        <v/>
      </c>
      <c r="L30" s="121" t="str">
        <f aca="false">IF(Matching_Tb[[#This Row],[TT Link]] = "", "", IF(Matching_Tb[[#This Row],[Can be matched ? ]] = "No", "", HYPERLINK(Matching_Tb[[#This Row],[TT Link]], "Link")))</f>
        <v/>
      </c>
      <c r="M30" s="128" t="str">
        <f aca="false">IF(Matching_Tb[[#This Row],[Comment]] = "", "", VLOOKUP(Matching_Tb[[#This Row],[Comment]],Disclaimers!$A$3:$C$100, 3, 0))</f>
        <v/>
      </c>
    </row>
    <row r="31" customFormat="false" ht="14.25" hidden="false" customHeight="false" outlineLevel="0" collapsed="false">
      <c r="A31" s="124"/>
      <c r="B31" s="125" t="str">
        <f aca="false">IF('Matching Sheet'!B31 = "", "", 'Matching Sheet'!B31)</f>
        <v/>
      </c>
      <c r="C31" s="126" t="str">
        <f aca="false">IF('Matching Sheet'!C31 = "", "", 'Matching Sheet'!C31)</f>
        <v/>
      </c>
      <c r="D31" s="126" t="str">
        <f aca="false">IF('Matching Sheet'!D31 = "", "", 'Matching Sheet'!D31)</f>
        <v/>
      </c>
      <c r="E31" s="126" t="str">
        <f aca="false">IF('Matching Sheet'!E31 = "", "", 'Matching Sheet'!E31)</f>
        <v/>
      </c>
      <c r="F31" s="126" t="str">
        <f aca="false">IF(Matching_Tb[[#This Row],[CMT  Set-up]] = "", "", Matching_Tb[[#This Row],[CMT  Set-up]])</f>
        <v/>
      </c>
      <c r="G31" s="120" t="str">
        <f aca="false">IF(Matching_Tb[[#This Row],[Start date]] = "", "", Matching_Tb[[#This Row],[Start date]])</f>
        <v/>
      </c>
      <c r="H31" s="120" t="str">
        <f aca="false">IF(Matching_Tb[[#This Row],[End date]] = "", "", Matching_Tb[[#This Row],[End date]])</f>
        <v/>
      </c>
      <c r="I31" s="127" t="str">
        <f aca="false">IF(Matching_Tb[[#This Row],[Competitor URL]] = "", "", HYPERLINK(Matching_Tb[[#This Row],[Competitor URL]], "Link"))</f>
        <v/>
      </c>
      <c r="J31" s="122" t="str">
        <f aca="false">IF(Retail_Tb[[#This Row],[MKPL]] = "", "", IF(Matching_Tb[[#This Row],[Promo code]] = "", "N/A", Matching_Tb[[#This Row],[Promo code]]))</f>
        <v/>
      </c>
      <c r="K31" s="126" t="str">
        <f aca="false">IF(Matching_Tb[[#This Row],[Offer Details]] = "", "", Matching_Tb[[#This Row],[Offer Details]])</f>
        <v/>
      </c>
      <c r="L31" s="121" t="str">
        <f aca="false">IF(Matching_Tb[[#This Row],[TT Link]] = "", "", IF(Matching_Tb[[#This Row],[Can be matched ? ]] = "No", "", HYPERLINK(Matching_Tb[[#This Row],[TT Link]], "Link")))</f>
        <v/>
      </c>
      <c r="M31" s="128" t="str">
        <f aca="false">IF(Matching_Tb[[#This Row],[Comment]] = "", "", VLOOKUP(Matching_Tb[[#This Row],[Comment]],Disclaimers!$A$3:$C$100, 3, 0))</f>
        <v/>
      </c>
    </row>
    <row r="32" customFormat="false" ht="14.25" hidden="false" customHeight="false" outlineLevel="0" collapsed="false">
      <c r="A32" s="124"/>
      <c r="B32" s="125" t="str">
        <f aca="false">IF('Matching Sheet'!B32 = "", "", 'Matching Sheet'!B32)</f>
        <v/>
      </c>
      <c r="C32" s="126" t="str">
        <f aca="false">IF('Matching Sheet'!C32 = "", "", 'Matching Sheet'!C32)</f>
        <v/>
      </c>
      <c r="D32" s="126" t="str">
        <f aca="false">IF('Matching Sheet'!D32 = "", "", 'Matching Sheet'!D32)</f>
        <v/>
      </c>
      <c r="E32" s="126" t="str">
        <f aca="false">IF('Matching Sheet'!E32 = "", "", 'Matching Sheet'!E32)</f>
        <v/>
      </c>
      <c r="F32" s="126" t="str">
        <f aca="false">IF(Matching_Tb[[#This Row],[CMT  Set-up]] = "", "", Matching_Tb[[#This Row],[CMT  Set-up]])</f>
        <v/>
      </c>
      <c r="G32" s="120" t="str">
        <f aca="false">IF(Matching_Tb[[#This Row],[Start date]] = "", "", Matching_Tb[[#This Row],[Start date]])</f>
        <v/>
      </c>
      <c r="H32" s="120" t="str">
        <f aca="false">IF(Matching_Tb[[#This Row],[End date]] = "", "", Matching_Tb[[#This Row],[End date]])</f>
        <v/>
      </c>
      <c r="I32" s="127" t="str">
        <f aca="false">IF(Matching_Tb[[#This Row],[Competitor URL]] = "", "", HYPERLINK(Matching_Tb[[#This Row],[Competitor URL]], "Link"))</f>
        <v/>
      </c>
      <c r="J32" s="122" t="str">
        <f aca="false">IF(Retail_Tb[[#This Row],[MKPL]] = "", "", IF(Matching_Tb[[#This Row],[Promo code]] = "", "N/A", Matching_Tb[[#This Row],[Promo code]]))</f>
        <v/>
      </c>
      <c r="K32" s="126" t="str">
        <f aca="false">IF(Matching_Tb[[#This Row],[Offer Details]] = "", "", Matching_Tb[[#This Row],[Offer Details]])</f>
        <v/>
      </c>
      <c r="L32" s="121" t="str">
        <f aca="false">IF(Matching_Tb[[#This Row],[TT Link]] = "", "", IF(Matching_Tb[[#This Row],[Can be matched ? ]] = "No", "", HYPERLINK(Matching_Tb[[#This Row],[TT Link]], "Link")))</f>
        <v/>
      </c>
      <c r="M32" s="128" t="str">
        <f aca="false">IF(Matching_Tb[[#This Row],[Comment]] = "", "", VLOOKUP(Matching_Tb[[#This Row],[Comment]],Disclaimers!$A$3:$C$100, 3, 0))</f>
        <v/>
      </c>
    </row>
    <row r="33" customFormat="false" ht="14.25" hidden="false" customHeight="false" outlineLevel="0" collapsed="false">
      <c r="A33" s="124"/>
      <c r="B33" s="125" t="str">
        <f aca="false">IF('Matching Sheet'!B33 = "", "", 'Matching Sheet'!B33)</f>
        <v/>
      </c>
      <c r="C33" s="126" t="str">
        <f aca="false">IF('Matching Sheet'!C33 = "", "", 'Matching Sheet'!C33)</f>
        <v/>
      </c>
      <c r="D33" s="126" t="str">
        <f aca="false">IF('Matching Sheet'!D33 = "", "", 'Matching Sheet'!D33)</f>
        <v/>
      </c>
      <c r="E33" s="126" t="str">
        <f aca="false">IF('Matching Sheet'!E33 = "", "", 'Matching Sheet'!E33)</f>
        <v/>
      </c>
      <c r="F33" s="126" t="str">
        <f aca="false">IF(Matching_Tb[[#This Row],[CMT  Set-up]] = "", "", Matching_Tb[[#This Row],[CMT  Set-up]])</f>
        <v/>
      </c>
      <c r="G33" s="120" t="str">
        <f aca="false">IF(Matching_Tb[[#This Row],[Start date]] = "", "", Matching_Tb[[#This Row],[Start date]])</f>
        <v/>
      </c>
      <c r="H33" s="120" t="str">
        <f aca="false">IF(Matching_Tb[[#This Row],[End date]] = "", "", Matching_Tb[[#This Row],[End date]])</f>
        <v/>
      </c>
      <c r="I33" s="127" t="str">
        <f aca="false">IF(Matching_Tb[[#This Row],[Competitor URL]] = "", "", HYPERLINK(Matching_Tb[[#This Row],[Competitor URL]], "Link"))</f>
        <v/>
      </c>
      <c r="J33" s="122" t="str">
        <f aca="false">IF(Retail_Tb[[#This Row],[MKPL]] = "", "", IF(Matching_Tb[[#This Row],[Promo code]] = "", "N/A", Matching_Tb[[#This Row],[Promo code]]))</f>
        <v/>
      </c>
      <c r="K33" s="126" t="str">
        <f aca="false">IF(Matching_Tb[[#This Row],[Offer Details]] = "", "", Matching_Tb[[#This Row],[Offer Details]])</f>
        <v/>
      </c>
      <c r="L33" s="121" t="str">
        <f aca="false">IF(Matching_Tb[[#This Row],[TT Link]] = "", "", IF(Matching_Tb[[#This Row],[Can be matched ? ]] = "No", "", HYPERLINK(Matching_Tb[[#This Row],[TT Link]], "Link")))</f>
        <v/>
      </c>
      <c r="M33" s="128" t="str">
        <f aca="false">IF(Matching_Tb[[#This Row],[Comment]] = "", "", VLOOKUP(Matching_Tb[[#This Row],[Comment]],Disclaimers!$A$3:$C$100, 3, 0))</f>
        <v/>
      </c>
    </row>
    <row r="34" customFormat="false" ht="14.25" hidden="false" customHeight="false" outlineLevel="0" collapsed="false">
      <c r="A34" s="124"/>
      <c r="B34" s="125" t="str">
        <f aca="false">IF('Matching Sheet'!B34 = "", "", 'Matching Sheet'!B34)</f>
        <v/>
      </c>
      <c r="C34" s="126" t="str">
        <f aca="false">IF('Matching Sheet'!C34 = "", "", 'Matching Sheet'!C34)</f>
        <v/>
      </c>
      <c r="D34" s="126" t="str">
        <f aca="false">IF('Matching Sheet'!D34 = "", "", 'Matching Sheet'!D34)</f>
        <v/>
      </c>
      <c r="E34" s="126" t="str">
        <f aca="false">IF('Matching Sheet'!E34 = "", "", 'Matching Sheet'!E34)</f>
        <v/>
      </c>
      <c r="F34" s="126" t="str">
        <f aca="false">IF(Matching_Tb[[#This Row],[CMT  Set-up]] = "", "", Matching_Tb[[#This Row],[CMT  Set-up]])</f>
        <v/>
      </c>
      <c r="G34" s="120" t="str">
        <f aca="false">IF(Matching_Tb[[#This Row],[Start date]] = "", "", Matching_Tb[[#This Row],[Start date]])</f>
        <v/>
      </c>
      <c r="H34" s="120" t="str">
        <f aca="false">IF(Matching_Tb[[#This Row],[End date]] = "", "", Matching_Tb[[#This Row],[End date]])</f>
        <v/>
      </c>
      <c r="I34" s="127" t="str">
        <f aca="false">IF(Matching_Tb[[#This Row],[Competitor URL]] = "", "", HYPERLINK(Matching_Tb[[#This Row],[Competitor URL]], "Link"))</f>
        <v/>
      </c>
      <c r="J34" s="122" t="str">
        <f aca="false">IF(Retail_Tb[[#This Row],[MKPL]] = "", "", IF(Matching_Tb[[#This Row],[Promo code]] = "", "N/A", Matching_Tb[[#This Row],[Promo code]]))</f>
        <v/>
      </c>
      <c r="K34" s="126" t="str">
        <f aca="false">IF(Matching_Tb[[#This Row],[Offer Details]] = "", "", Matching_Tb[[#This Row],[Offer Details]])</f>
        <v/>
      </c>
      <c r="L34" s="121" t="str">
        <f aca="false">IF(Matching_Tb[[#This Row],[TT Link]] = "", "", IF(Matching_Tb[[#This Row],[Can be matched ? ]] = "No", "", HYPERLINK(Matching_Tb[[#This Row],[TT Link]], "Link")))</f>
        <v/>
      </c>
      <c r="M34" s="128" t="str">
        <f aca="false">IF(Matching_Tb[[#This Row],[Comment]] = "", "", VLOOKUP(Matching_Tb[[#This Row],[Comment]],Disclaimers!$A$3:$C$100, 3, 0))</f>
        <v/>
      </c>
    </row>
    <row r="35" customFormat="false" ht="14.25" hidden="false" customHeight="false" outlineLevel="0" collapsed="false">
      <c r="A35" s="124"/>
      <c r="B35" s="125" t="str">
        <f aca="false">IF('Matching Sheet'!B35 = "", "", 'Matching Sheet'!B35)</f>
        <v/>
      </c>
      <c r="C35" s="126" t="str">
        <f aca="false">IF('Matching Sheet'!C35 = "", "", 'Matching Sheet'!C35)</f>
        <v/>
      </c>
      <c r="D35" s="126" t="str">
        <f aca="false">IF('Matching Sheet'!D35 = "", "", 'Matching Sheet'!D35)</f>
        <v/>
      </c>
      <c r="E35" s="126" t="str">
        <f aca="false">IF('Matching Sheet'!E35 = "", "", 'Matching Sheet'!E35)</f>
        <v/>
      </c>
      <c r="F35" s="126" t="str">
        <f aca="false">IF(Matching_Tb[[#This Row],[CMT  Set-up]] = "", "", Matching_Tb[[#This Row],[CMT  Set-up]])</f>
        <v/>
      </c>
      <c r="G35" s="120" t="str">
        <f aca="false">IF(Matching_Tb[[#This Row],[Start date]] = "", "", Matching_Tb[[#This Row],[Start date]])</f>
        <v/>
      </c>
      <c r="H35" s="120" t="str">
        <f aca="false">IF(Matching_Tb[[#This Row],[End date]] = "", "", Matching_Tb[[#This Row],[End date]])</f>
        <v/>
      </c>
      <c r="I35" s="127" t="str">
        <f aca="false">IF(Matching_Tb[[#This Row],[Competitor URL]] = "", "", HYPERLINK(Matching_Tb[[#This Row],[Competitor URL]], "Link"))</f>
        <v/>
      </c>
      <c r="J35" s="122" t="str">
        <f aca="false">IF(Retail_Tb[[#This Row],[MKPL]] = "", "", IF(Matching_Tb[[#This Row],[Promo code]] = "", "N/A", Matching_Tb[[#This Row],[Promo code]]))</f>
        <v/>
      </c>
      <c r="K35" s="126" t="str">
        <f aca="false">IF(Matching_Tb[[#This Row],[Offer Details]] = "", "", Matching_Tb[[#This Row],[Offer Details]])</f>
        <v/>
      </c>
      <c r="L35" s="121" t="str">
        <f aca="false">IF(Matching_Tb[[#This Row],[TT Link]] = "", "", IF(Matching_Tb[[#This Row],[Can be matched ? ]] = "No", "", HYPERLINK(Matching_Tb[[#This Row],[TT Link]], "Link")))</f>
        <v/>
      </c>
      <c r="M35" s="128" t="str">
        <f aca="false">IF(Matching_Tb[[#This Row],[Comment]] = "", "", VLOOKUP(Matching_Tb[[#This Row],[Comment]],Disclaimers!$A$3:$C$100, 3, 0))</f>
        <v/>
      </c>
    </row>
    <row r="36" customFormat="false" ht="14.25" hidden="false" customHeight="false" outlineLevel="0" collapsed="false">
      <c r="A36" s="124"/>
      <c r="B36" s="125" t="str">
        <f aca="false">IF('Matching Sheet'!B36 = "", "", 'Matching Sheet'!B36)</f>
        <v/>
      </c>
      <c r="C36" s="126" t="str">
        <f aca="false">IF('Matching Sheet'!C36 = "", "", 'Matching Sheet'!C36)</f>
        <v/>
      </c>
      <c r="D36" s="126" t="str">
        <f aca="false">IF('Matching Sheet'!D36 = "", "", 'Matching Sheet'!D36)</f>
        <v/>
      </c>
      <c r="E36" s="126" t="str">
        <f aca="false">IF('Matching Sheet'!E36 = "", "", 'Matching Sheet'!E36)</f>
        <v/>
      </c>
      <c r="F36" s="126" t="str">
        <f aca="false">IF(Matching_Tb[[#This Row],[CMT  Set-up]] = "", "", Matching_Tb[[#This Row],[CMT  Set-up]])</f>
        <v/>
      </c>
      <c r="G36" s="120" t="str">
        <f aca="false">IF(Matching_Tb[[#This Row],[Start date]] = "", "", Matching_Tb[[#This Row],[Start date]])</f>
        <v/>
      </c>
      <c r="H36" s="120" t="str">
        <f aca="false">IF(Matching_Tb[[#This Row],[End date]] = "", "", Matching_Tb[[#This Row],[End date]])</f>
        <v/>
      </c>
      <c r="I36" s="127" t="str">
        <f aca="false">IF(Matching_Tb[[#This Row],[Competitor URL]] = "", "", HYPERLINK(Matching_Tb[[#This Row],[Competitor URL]], "Link"))</f>
        <v/>
      </c>
      <c r="J36" s="122" t="str">
        <f aca="false">IF(Retail_Tb[[#This Row],[MKPL]] = "", "", IF(Matching_Tb[[#This Row],[Promo code]] = "", "N/A", Matching_Tb[[#This Row],[Promo code]]))</f>
        <v/>
      </c>
      <c r="K36" s="126" t="str">
        <f aca="false">IF(Matching_Tb[[#This Row],[Offer Details]] = "", "", Matching_Tb[[#This Row],[Offer Details]])</f>
        <v/>
      </c>
      <c r="L36" s="121" t="str">
        <f aca="false">IF(Matching_Tb[[#This Row],[TT Link]] = "", "", IF(Matching_Tb[[#This Row],[Can be matched ? ]] = "No", "", HYPERLINK(Matching_Tb[[#This Row],[TT Link]], "Link")))</f>
        <v/>
      </c>
      <c r="M36" s="128" t="str">
        <f aca="false">IF(Matching_Tb[[#This Row],[Comment]] = "", "", VLOOKUP(Matching_Tb[[#This Row],[Comment]],Disclaimers!$A$3:$C$100, 3, 0))</f>
        <v/>
      </c>
    </row>
    <row r="37" customFormat="false" ht="14.25" hidden="false" customHeight="false" outlineLevel="0" collapsed="false">
      <c r="A37" s="124"/>
      <c r="B37" s="125" t="str">
        <f aca="false">IF('Matching Sheet'!B37 = "", "", 'Matching Sheet'!B37)</f>
        <v/>
      </c>
      <c r="C37" s="126" t="str">
        <f aca="false">IF('Matching Sheet'!C37 = "", "", 'Matching Sheet'!C37)</f>
        <v/>
      </c>
      <c r="D37" s="126" t="str">
        <f aca="false">IF('Matching Sheet'!D37 = "", "", 'Matching Sheet'!D37)</f>
        <v/>
      </c>
      <c r="E37" s="126" t="str">
        <f aca="false">IF('Matching Sheet'!E37 = "", "", 'Matching Sheet'!E37)</f>
        <v/>
      </c>
      <c r="F37" s="126" t="str">
        <f aca="false">IF(Matching_Tb[[#This Row],[CMT  Set-up]] = "", "", Matching_Tb[[#This Row],[CMT  Set-up]])</f>
        <v/>
      </c>
      <c r="G37" s="120" t="str">
        <f aca="false">IF(Matching_Tb[[#This Row],[Start date]] = "", "", Matching_Tb[[#This Row],[Start date]])</f>
        <v/>
      </c>
      <c r="H37" s="120" t="str">
        <f aca="false">IF(Matching_Tb[[#This Row],[End date]] = "", "", Matching_Tb[[#This Row],[End date]])</f>
        <v/>
      </c>
      <c r="I37" s="127" t="str">
        <f aca="false">IF(Matching_Tb[[#This Row],[Competitor URL]] = "", "", HYPERLINK(Matching_Tb[[#This Row],[Competitor URL]], "Link"))</f>
        <v/>
      </c>
      <c r="J37" s="122" t="str">
        <f aca="false">IF(Retail_Tb[[#This Row],[MKPL]] = "", "", IF(Matching_Tb[[#This Row],[Promo code]] = "", "N/A", Matching_Tb[[#This Row],[Promo code]]))</f>
        <v/>
      </c>
      <c r="K37" s="126" t="str">
        <f aca="false">IF(Matching_Tb[[#This Row],[Offer Details]] = "", "", Matching_Tb[[#This Row],[Offer Details]])</f>
        <v/>
      </c>
      <c r="L37" s="121" t="str">
        <f aca="false">IF(Matching_Tb[[#This Row],[TT Link]] = "", "", IF(Matching_Tb[[#This Row],[Can be matched ? ]] = "No", "", HYPERLINK(Matching_Tb[[#This Row],[TT Link]], "Link")))</f>
        <v/>
      </c>
      <c r="M37" s="128" t="str">
        <f aca="false">IF(Matching_Tb[[#This Row],[Comment]] = "", "", VLOOKUP(Matching_Tb[[#This Row],[Comment]],Disclaimers!$A$3:$C$100, 3, 0))</f>
        <v/>
      </c>
    </row>
    <row r="38" customFormat="false" ht="14.25" hidden="false" customHeight="false" outlineLevel="0" collapsed="false">
      <c r="A38" s="124"/>
      <c r="B38" s="125" t="str">
        <f aca="false">IF('Matching Sheet'!B38 = "", "", 'Matching Sheet'!B38)</f>
        <v/>
      </c>
      <c r="C38" s="126" t="str">
        <f aca="false">IF('Matching Sheet'!C38 = "", "", 'Matching Sheet'!C38)</f>
        <v/>
      </c>
      <c r="D38" s="126" t="str">
        <f aca="false">IF('Matching Sheet'!D38 = "", "", 'Matching Sheet'!D38)</f>
        <v/>
      </c>
      <c r="E38" s="126" t="str">
        <f aca="false">IF('Matching Sheet'!E38 = "", "", 'Matching Sheet'!E38)</f>
        <v/>
      </c>
      <c r="F38" s="126" t="str">
        <f aca="false">IF(Matching_Tb[[#This Row],[CMT  Set-up]] = "", "", Matching_Tb[[#This Row],[CMT  Set-up]])</f>
        <v/>
      </c>
      <c r="G38" s="120" t="str">
        <f aca="false">IF(Matching_Tb[[#This Row],[Start date]] = "", "", Matching_Tb[[#This Row],[Start date]])</f>
        <v/>
      </c>
      <c r="H38" s="120" t="str">
        <f aca="false">IF(Matching_Tb[[#This Row],[End date]] = "", "", Matching_Tb[[#This Row],[End date]])</f>
        <v/>
      </c>
      <c r="I38" s="127" t="str">
        <f aca="false">IF(Matching_Tb[[#This Row],[Competitor URL]] = "", "", HYPERLINK(Matching_Tb[[#This Row],[Competitor URL]], "Link"))</f>
        <v/>
      </c>
      <c r="J38" s="122" t="str">
        <f aca="false">IF(Retail_Tb[[#This Row],[MKPL]] = "", "", IF(Matching_Tb[[#This Row],[Promo code]] = "", "N/A", Matching_Tb[[#This Row],[Promo code]]))</f>
        <v/>
      </c>
      <c r="K38" s="126" t="str">
        <f aca="false">IF(Matching_Tb[[#This Row],[Offer Details]] = "", "", Matching_Tb[[#This Row],[Offer Details]])</f>
        <v/>
      </c>
      <c r="L38" s="121" t="str">
        <f aca="false">IF(Matching_Tb[[#This Row],[TT Link]] = "", "", IF(Matching_Tb[[#This Row],[Can be matched ? ]] = "No", "", HYPERLINK(Matching_Tb[[#This Row],[TT Link]], "Link")))</f>
        <v/>
      </c>
      <c r="M38" s="128" t="str">
        <f aca="false">IF(Matching_Tb[[#This Row],[Comment]] = "", "", VLOOKUP(Matching_Tb[[#This Row],[Comment]],Disclaimers!$A$3:$C$100, 3, 0))</f>
        <v/>
      </c>
    </row>
    <row r="39" customFormat="false" ht="14.25" hidden="false" customHeight="false" outlineLevel="0" collapsed="false">
      <c r="A39" s="124"/>
      <c r="B39" s="125" t="str">
        <f aca="false">IF('Matching Sheet'!B39 = "", "", 'Matching Sheet'!B39)</f>
        <v/>
      </c>
      <c r="C39" s="126" t="str">
        <f aca="false">IF('Matching Sheet'!C39 = "", "", 'Matching Sheet'!C39)</f>
        <v/>
      </c>
      <c r="D39" s="126" t="str">
        <f aca="false">IF('Matching Sheet'!D39 = "", "", 'Matching Sheet'!D39)</f>
        <v/>
      </c>
      <c r="E39" s="126" t="str">
        <f aca="false">IF('Matching Sheet'!E39 = "", "", 'Matching Sheet'!E39)</f>
        <v/>
      </c>
      <c r="F39" s="126" t="str">
        <f aca="false">IF(Matching_Tb[[#This Row],[CMT  Set-up]] = "", "", Matching_Tb[[#This Row],[CMT  Set-up]])</f>
        <v/>
      </c>
      <c r="G39" s="120" t="str">
        <f aca="false">IF(Matching_Tb[[#This Row],[Start date]] = "", "", Matching_Tb[[#This Row],[Start date]])</f>
        <v/>
      </c>
      <c r="H39" s="120" t="str">
        <f aca="false">IF(Matching_Tb[[#This Row],[End date]] = "", "", Matching_Tb[[#This Row],[End date]])</f>
        <v/>
      </c>
      <c r="I39" s="127" t="str">
        <f aca="false">IF(Matching_Tb[[#This Row],[Competitor URL]] = "", "", HYPERLINK(Matching_Tb[[#This Row],[Competitor URL]], "Link"))</f>
        <v/>
      </c>
      <c r="J39" s="122" t="str">
        <f aca="false">IF(Retail_Tb[[#This Row],[MKPL]] = "", "", IF(Matching_Tb[[#This Row],[Promo code]] = "", "N/A", Matching_Tb[[#This Row],[Promo code]]))</f>
        <v/>
      </c>
      <c r="K39" s="126" t="str">
        <f aca="false">IF(Matching_Tb[[#This Row],[Offer Details]] = "", "", Matching_Tb[[#This Row],[Offer Details]])</f>
        <v/>
      </c>
      <c r="L39" s="121" t="str">
        <f aca="false">IF(Matching_Tb[[#This Row],[TT Link]] = "", "", IF(Matching_Tb[[#This Row],[Can be matched ? ]] = "No", "", HYPERLINK(Matching_Tb[[#This Row],[TT Link]], "Link")))</f>
        <v/>
      </c>
      <c r="M39" s="128" t="str">
        <f aca="false">IF(Matching_Tb[[#This Row],[Comment]] = "", "", VLOOKUP(Matching_Tb[[#This Row],[Comment]],Disclaimers!$A$3:$C$100, 3, 0))</f>
        <v/>
      </c>
    </row>
    <row r="40" customFormat="false" ht="14.25" hidden="false" customHeight="false" outlineLevel="0" collapsed="false">
      <c r="A40" s="124"/>
      <c r="B40" s="125" t="str">
        <f aca="false">IF('Matching Sheet'!B40 = "", "", 'Matching Sheet'!B40)</f>
        <v/>
      </c>
      <c r="C40" s="126" t="str">
        <f aca="false">IF('Matching Sheet'!C40 = "", "", 'Matching Sheet'!C40)</f>
        <v/>
      </c>
      <c r="D40" s="126" t="str">
        <f aca="false">IF('Matching Sheet'!D40 = "", "", 'Matching Sheet'!D40)</f>
        <v/>
      </c>
      <c r="E40" s="126" t="str">
        <f aca="false">IF('Matching Sheet'!E40 = "", "", 'Matching Sheet'!E40)</f>
        <v/>
      </c>
      <c r="F40" s="126" t="str">
        <f aca="false">IF(Matching_Tb[[#This Row],[CMT  Set-up]] = "", "", Matching_Tb[[#This Row],[CMT  Set-up]])</f>
        <v/>
      </c>
      <c r="G40" s="120" t="str">
        <f aca="false">IF(Matching_Tb[[#This Row],[Start date]] = "", "", Matching_Tb[[#This Row],[Start date]])</f>
        <v/>
      </c>
      <c r="H40" s="120" t="str">
        <f aca="false">IF(Matching_Tb[[#This Row],[End date]] = "", "", Matching_Tb[[#This Row],[End date]])</f>
        <v/>
      </c>
      <c r="I40" s="127" t="str">
        <f aca="false">IF(Matching_Tb[[#This Row],[Competitor URL]] = "", "", HYPERLINK(Matching_Tb[[#This Row],[Competitor URL]], "Link"))</f>
        <v/>
      </c>
      <c r="J40" s="122" t="str">
        <f aca="false">IF(Retail_Tb[[#This Row],[MKPL]] = "", "", IF(Matching_Tb[[#This Row],[Promo code]] = "", "N/A", Matching_Tb[[#This Row],[Promo code]]))</f>
        <v/>
      </c>
      <c r="K40" s="126" t="str">
        <f aca="false">IF(Matching_Tb[[#This Row],[Offer Details]] = "", "", Matching_Tb[[#This Row],[Offer Details]])</f>
        <v/>
      </c>
      <c r="L40" s="121" t="str">
        <f aca="false">IF(Matching_Tb[[#This Row],[TT Link]] = "", "", IF(Matching_Tb[[#This Row],[Can be matched ? ]] = "No", "", HYPERLINK(Matching_Tb[[#This Row],[TT Link]], "Link")))</f>
        <v/>
      </c>
      <c r="M40" s="128" t="str">
        <f aca="false">IF(Matching_Tb[[#This Row],[Comment]] = "", "", VLOOKUP(Matching_Tb[[#This Row],[Comment]],Disclaimers!$A$3:$C$100, 3, 0))</f>
        <v/>
      </c>
    </row>
    <row r="41" customFormat="false" ht="14.25" hidden="false" customHeight="false" outlineLevel="0" collapsed="false">
      <c r="A41" s="124"/>
      <c r="B41" s="125" t="str">
        <f aca="false">IF('Matching Sheet'!B41 = "", "", 'Matching Sheet'!B41)</f>
        <v/>
      </c>
      <c r="C41" s="126" t="str">
        <f aca="false">IF('Matching Sheet'!C41 = "", "", 'Matching Sheet'!C41)</f>
        <v/>
      </c>
      <c r="D41" s="126" t="str">
        <f aca="false">IF('Matching Sheet'!D41 = "", "", 'Matching Sheet'!D41)</f>
        <v/>
      </c>
      <c r="E41" s="126" t="str">
        <f aca="false">IF('Matching Sheet'!E41 = "", "", 'Matching Sheet'!E41)</f>
        <v/>
      </c>
      <c r="F41" s="126" t="str">
        <f aca="false">IF(Matching_Tb[[#This Row],[CMT  Set-up]] = "", "", Matching_Tb[[#This Row],[CMT  Set-up]])</f>
        <v/>
      </c>
      <c r="G41" s="120" t="str">
        <f aca="false">IF(Matching_Tb[[#This Row],[Start date]] = "", "", Matching_Tb[[#This Row],[Start date]])</f>
        <v/>
      </c>
      <c r="H41" s="120" t="str">
        <f aca="false">IF(Matching_Tb[[#This Row],[End date]] = "", "", Matching_Tb[[#This Row],[End date]])</f>
        <v/>
      </c>
      <c r="I41" s="127" t="str">
        <f aca="false">IF(Matching_Tb[[#This Row],[Competitor URL]] = "", "", HYPERLINK(Matching_Tb[[#This Row],[Competitor URL]], "Link"))</f>
        <v/>
      </c>
      <c r="J41" s="122" t="str">
        <f aca="false">IF(Retail_Tb[[#This Row],[MKPL]] = "", "", IF(Matching_Tb[[#This Row],[Promo code]] = "", "N/A", Matching_Tb[[#This Row],[Promo code]]))</f>
        <v/>
      </c>
      <c r="K41" s="126" t="str">
        <f aca="false">IF(Matching_Tb[[#This Row],[Offer Details]] = "", "", Matching_Tb[[#This Row],[Offer Details]])</f>
        <v/>
      </c>
      <c r="L41" s="121" t="str">
        <f aca="false">IF(Matching_Tb[[#This Row],[TT Link]] = "", "", IF(Matching_Tb[[#This Row],[Can be matched ? ]] = "No", "", HYPERLINK(Matching_Tb[[#This Row],[TT Link]], "Link")))</f>
        <v/>
      </c>
      <c r="M41" s="128" t="str">
        <f aca="false">IF(Matching_Tb[[#This Row],[Comment]] = "", "", VLOOKUP(Matching_Tb[[#This Row],[Comment]],Disclaimers!$A$3:$C$100, 3, 0))</f>
        <v/>
      </c>
    </row>
    <row r="42" customFormat="false" ht="14.25" hidden="false" customHeight="false" outlineLevel="0" collapsed="false">
      <c r="A42" s="124"/>
      <c r="B42" s="125" t="str">
        <f aca="false">IF('Matching Sheet'!B42 = "", "", 'Matching Sheet'!B42)</f>
        <v/>
      </c>
      <c r="C42" s="126" t="str">
        <f aca="false">IF('Matching Sheet'!C42 = "", "", 'Matching Sheet'!C42)</f>
        <v/>
      </c>
      <c r="D42" s="126" t="str">
        <f aca="false">IF('Matching Sheet'!D42 = "", "", 'Matching Sheet'!D42)</f>
        <v/>
      </c>
      <c r="E42" s="126" t="str">
        <f aca="false">IF('Matching Sheet'!E42 = "", "", 'Matching Sheet'!E42)</f>
        <v/>
      </c>
      <c r="F42" s="126" t="str">
        <f aca="false">IF(Matching_Tb[[#This Row],[CMT  Set-up]] = "", "", Matching_Tb[[#This Row],[CMT  Set-up]])</f>
        <v/>
      </c>
      <c r="G42" s="120" t="str">
        <f aca="false">IF(Matching_Tb[[#This Row],[Start date]] = "", "", Matching_Tb[[#This Row],[Start date]])</f>
        <v/>
      </c>
      <c r="H42" s="120" t="str">
        <f aca="false">IF(Matching_Tb[[#This Row],[End date]] = "", "", Matching_Tb[[#This Row],[End date]])</f>
        <v/>
      </c>
      <c r="I42" s="127" t="str">
        <f aca="false">IF(Matching_Tb[[#This Row],[Competitor URL]] = "", "", HYPERLINK(Matching_Tb[[#This Row],[Competitor URL]], "Link"))</f>
        <v/>
      </c>
      <c r="J42" s="122" t="str">
        <f aca="false">IF(Retail_Tb[[#This Row],[MKPL]] = "", "", IF(Matching_Tb[[#This Row],[Promo code]] = "", "N/A", Matching_Tb[[#This Row],[Promo code]]))</f>
        <v/>
      </c>
      <c r="K42" s="126" t="str">
        <f aca="false">IF(Matching_Tb[[#This Row],[Offer Details]] = "", "", Matching_Tb[[#This Row],[Offer Details]])</f>
        <v/>
      </c>
      <c r="L42" s="121" t="str">
        <f aca="false">IF(Matching_Tb[[#This Row],[TT Link]] = "", "", IF(Matching_Tb[[#This Row],[Can be matched ? ]] = "No", "", HYPERLINK(Matching_Tb[[#This Row],[TT Link]], "Link")))</f>
        <v/>
      </c>
      <c r="M42" s="128" t="str">
        <f aca="false">IF(Matching_Tb[[#This Row],[Comment]] = "", "", VLOOKUP(Matching_Tb[[#This Row],[Comment]],Disclaimers!$A$3:$C$100, 3, 0))</f>
        <v/>
      </c>
    </row>
    <row r="43" customFormat="false" ht="14.25" hidden="false" customHeight="false" outlineLevel="0" collapsed="false">
      <c r="A43" s="124"/>
      <c r="B43" s="125" t="str">
        <f aca="false">IF('Matching Sheet'!B43 = "", "", 'Matching Sheet'!B43)</f>
        <v/>
      </c>
      <c r="C43" s="126" t="str">
        <f aca="false">IF('Matching Sheet'!C43 = "", "", 'Matching Sheet'!C43)</f>
        <v/>
      </c>
      <c r="D43" s="126" t="str">
        <f aca="false">IF('Matching Sheet'!D43 = "", "", 'Matching Sheet'!D43)</f>
        <v/>
      </c>
      <c r="E43" s="126" t="str">
        <f aca="false">IF('Matching Sheet'!E43 = "", "", 'Matching Sheet'!E43)</f>
        <v/>
      </c>
      <c r="F43" s="126" t="str">
        <f aca="false">IF(Matching_Tb[[#This Row],[CMT  Set-up]] = "", "", Matching_Tb[[#This Row],[CMT  Set-up]])</f>
        <v/>
      </c>
      <c r="G43" s="120" t="str">
        <f aca="false">IF(Matching_Tb[[#This Row],[Start date]] = "", "", Matching_Tb[[#This Row],[Start date]])</f>
        <v/>
      </c>
      <c r="H43" s="120" t="str">
        <f aca="false">IF(Matching_Tb[[#This Row],[End date]] = "", "", Matching_Tb[[#This Row],[End date]])</f>
        <v/>
      </c>
      <c r="I43" s="127" t="str">
        <f aca="false">IF(Matching_Tb[[#This Row],[Competitor URL]] = "", "", HYPERLINK(Matching_Tb[[#This Row],[Competitor URL]], "Link"))</f>
        <v/>
      </c>
      <c r="J43" s="122" t="str">
        <f aca="false">IF(Retail_Tb[[#This Row],[MKPL]] = "", "", IF(Matching_Tb[[#This Row],[Promo code]] = "", "N/A", Matching_Tb[[#This Row],[Promo code]]))</f>
        <v/>
      </c>
      <c r="K43" s="126" t="str">
        <f aca="false">IF(Matching_Tb[[#This Row],[Offer Details]] = "", "", Matching_Tb[[#This Row],[Offer Details]])</f>
        <v/>
      </c>
      <c r="L43" s="121" t="str">
        <f aca="false">IF(Matching_Tb[[#This Row],[TT Link]] = "", "", IF(Matching_Tb[[#This Row],[Can be matched ? ]] = "No", "", HYPERLINK(Matching_Tb[[#This Row],[TT Link]], "Link")))</f>
        <v/>
      </c>
      <c r="M43" s="128" t="str">
        <f aca="false">IF(Matching_Tb[[#This Row],[Comment]] = "", "", VLOOKUP(Matching_Tb[[#This Row],[Comment]],Disclaimers!$A$3:$C$100, 3, 0))</f>
        <v/>
      </c>
    </row>
    <row r="44" customFormat="false" ht="14.25" hidden="false" customHeight="false" outlineLevel="0" collapsed="false">
      <c r="A44" s="124"/>
      <c r="B44" s="125" t="str">
        <f aca="false">IF('Matching Sheet'!B44 = "", "", 'Matching Sheet'!B44)</f>
        <v/>
      </c>
      <c r="C44" s="126" t="str">
        <f aca="false">IF('Matching Sheet'!C44 = "", "", 'Matching Sheet'!C44)</f>
        <v/>
      </c>
      <c r="D44" s="126" t="str">
        <f aca="false">IF('Matching Sheet'!D44 = "", "", 'Matching Sheet'!D44)</f>
        <v/>
      </c>
      <c r="E44" s="126" t="str">
        <f aca="false">IF('Matching Sheet'!E44 = "", "", 'Matching Sheet'!E44)</f>
        <v/>
      </c>
      <c r="F44" s="126" t="str">
        <f aca="false">IF(Matching_Tb[[#This Row],[CMT  Set-up]] = "", "", Matching_Tb[[#This Row],[CMT  Set-up]])</f>
        <v/>
      </c>
      <c r="G44" s="120" t="str">
        <f aca="false">IF(Matching_Tb[[#This Row],[Start date]] = "", "", Matching_Tb[[#This Row],[Start date]])</f>
        <v/>
      </c>
      <c r="H44" s="120" t="str">
        <f aca="false">IF(Matching_Tb[[#This Row],[End date]] = "", "", Matching_Tb[[#This Row],[End date]])</f>
        <v/>
      </c>
      <c r="I44" s="127" t="str">
        <f aca="false">IF(Matching_Tb[[#This Row],[Competitor URL]] = "", "", HYPERLINK(Matching_Tb[[#This Row],[Competitor URL]], "Link"))</f>
        <v/>
      </c>
      <c r="J44" s="122" t="str">
        <f aca="false">IF(Retail_Tb[[#This Row],[MKPL]] = "", "", IF(Matching_Tb[[#This Row],[Promo code]] = "", "N/A", Matching_Tb[[#This Row],[Promo code]]))</f>
        <v/>
      </c>
      <c r="K44" s="126" t="str">
        <f aca="false">IF(Matching_Tb[[#This Row],[Offer Details]] = "", "", Matching_Tb[[#This Row],[Offer Details]])</f>
        <v/>
      </c>
      <c r="L44" s="121" t="str">
        <f aca="false">IF(Matching_Tb[[#This Row],[TT Link]] = "", "", IF(Matching_Tb[[#This Row],[Can be matched ? ]] = "No", "", HYPERLINK(Matching_Tb[[#This Row],[TT Link]], "Link")))</f>
        <v/>
      </c>
      <c r="M44" s="128" t="str">
        <f aca="false">IF(Matching_Tb[[#This Row],[Comment]] = "", "", VLOOKUP(Matching_Tb[[#This Row],[Comment]],Disclaimers!$A$3:$C$100, 3, 0))</f>
        <v/>
      </c>
    </row>
    <row r="45" customFormat="false" ht="14.25" hidden="false" customHeight="false" outlineLevel="0" collapsed="false">
      <c r="A45" s="124"/>
      <c r="B45" s="125" t="str">
        <f aca="false">IF('Matching Sheet'!B45 = "", "", 'Matching Sheet'!B45)</f>
        <v/>
      </c>
      <c r="C45" s="126" t="str">
        <f aca="false">IF('Matching Sheet'!C45 = "", "", 'Matching Sheet'!C45)</f>
        <v/>
      </c>
      <c r="D45" s="126" t="str">
        <f aca="false">IF('Matching Sheet'!D45 = "", "", 'Matching Sheet'!D45)</f>
        <v/>
      </c>
      <c r="E45" s="126" t="str">
        <f aca="false">IF('Matching Sheet'!E45 = "", "", 'Matching Sheet'!E45)</f>
        <v/>
      </c>
      <c r="F45" s="126" t="str">
        <f aca="false">IF(Matching_Tb[[#This Row],[CMT  Set-up]] = "", "", Matching_Tb[[#This Row],[CMT  Set-up]])</f>
        <v/>
      </c>
      <c r="G45" s="120" t="str">
        <f aca="false">IF(Matching_Tb[[#This Row],[Start date]] = "", "", Matching_Tb[[#This Row],[Start date]])</f>
        <v/>
      </c>
      <c r="H45" s="120" t="str">
        <f aca="false">IF(Matching_Tb[[#This Row],[End date]] = "", "", Matching_Tb[[#This Row],[End date]])</f>
        <v/>
      </c>
      <c r="I45" s="127" t="str">
        <f aca="false">IF(Matching_Tb[[#This Row],[Competitor URL]] = "", "", HYPERLINK(Matching_Tb[[#This Row],[Competitor URL]], "Link"))</f>
        <v/>
      </c>
      <c r="J45" s="122" t="str">
        <f aca="false">IF(Retail_Tb[[#This Row],[MKPL]] = "", "", IF(Matching_Tb[[#This Row],[Promo code]] = "", "N/A", Matching_Tb[[#This Row],[Promo code]]))</f>
        <v/>
      </c>
      <c r="K45" s="126" t="str">
        <f aca="false">IF(Matching_Tb[[#This Row],[Offer Details]] = "", "", Matching_Tb[[#This Row],[Offer Details]])</f>
        <v/>
      </c>
      <c r="L45" s="121" t="str">
        <f aca="false">IF(Matching_Tb[[#This Row],[TT Link]] = "", "", IF(Matching_Tb[[#This Row],[Can be matched ? ]] = "No", "", HYPERLINK(Matching_Tb[[#This Row],[TT Link]], "Link")))</f>
        <v/>
      </c>
      <c r="M45" s="128" t="str">
        <f aca="false">IF(Matching_Tb[[#This Row],[Comment]] = "", "", VLOOKUP(Matching_Tb[[#This Row],[Comment]],Disclaimers!$A$3:$C$100, 3, 0))</f>
        <v/>
      </c>
    </row>
    <row r="46" customFormat="false" ht="14.25" hidden="false" customHeight="false" outlineLevel="0" collapsed="false">
      <c r="A46" s="124"/>
      <c r="B46" s="125" t="str">
        <f aca="false">IF('Matching Sheet'!B46 = "", "", 'Matching Sheet'!B46)</f>
        <v/>
      </c>
      <c r="C46" s="126" t="str">
        <f aca="false">IF('Matching Sheet'!C46 = "", "", 'Matching Sheet'!C46)</f>
        <v/>
      </c>
      <c r="D46" s="126" t="str">
        <f aca="false">IF('Matching Sheet'!D46 = "", "", 'Matching Sheet'!D46)</f>
        <v/>
      </c>
      <c r="E46" s="126" t="str">
        <f aca="false">IF('Matching Sheet'!E46 = "", "", 'Matching Sheet'!E46)</f>
        <v/>
      </c>
      <c r="F46" s="126" t="str">
        <f aca="false">IF(Matching_Tb[[#This Row],[CMT  Set-up]] = "", "", Matching_Tb[[#This Row],[CMT  Set-up]])</f>
        <v/>
      </c>
      <c r="G46" s="120" t="str">
        <f aca="false">IF(Matching_Tb[[#This Row],[Start date]] = "", "", Matching_Tb[[#This Row],[Start date]])</f>
        <v/>
      </c>
      <c r="H46" s="120" t="str">
        <f aca="false">IF(Matching_Tb[[#This Row],[End date]] = "", "", Matching_Tb[[#This Row],[End date]])</f>
        <v/>
      </c>
      <c r="I46" s="127" t="str">
        <f aca="false">IF(Matching_Tb[[#This Row],[Competitor URL]] = "", "", HYPERLINK(Matching_Tb[[#This Row],[Competitor URL]], "Link"))</f>
        <v/>
      </c>
      <c r="J46" s="122" t="str">
        <f aca="false">IF(Retail_Tb[[#This Row],[MKPL]] = "", "", IF(Matching_Tb[[#This Row],[Promo code]] = "", "N/A", Matching_Tb[[#This Row],[Promo code]]))</f>
        <v/>
      </c>
      <c r="K46" s="126" t="str">
        <f aca="false">IF(Matching_Tb[[#This Row],[Offer Details]] = "", "", Matching_Tb[[#This Row],[Offer Details]])</f>
        <v/>
      </c>
      <c r="L46" s="121" t="str">
        <f aca="false">IF(Matching_Tb[[#This Row],[TT Link]] = "", "", IF(Matching_Tb[[#This Row],[Can be matched ? ]] = "No", "", HYPERLINK(Matching_Tb[[#This Row],[TT Link]], "Link")))</f>
        <v/>
      </c>
      <c r="M46" s="128" t="str">
        <f aca="false">IF(Matching_Tb[[#This Row],[Comment]] = "", "", VLOOKUP(Matching_Tb[[#This Row],[Comment]],Disclaimers!$A$3:$C$100, 3, 0))</f>
        <v/>
      </c>
    </row>
    <row r="47" customFormat="false" ht="14.25" hidden="false" customHeight="false" outlineLevel="0" collapsed="false">
      <c r="A47" s="124"/>
      <c r="B47" s="125" t="str">
        <f aca="false">IF('Matching Sheet'!B47 = "", "", 'Matching Sheet'!B47)</f>
        <v/>
      </c>
      <c r="C47" s="126" t="str">
        <f aca="false">IF('Matching Sheet'!C47 = "", "", 'Matching Sheet'!C47)</f>
        <v/>
      </c>
      <c r="D47" s="126" t="str">
        <f aca="false">IF('Matching Sheet'!D47 = "", "", 'Matching Sheet'!D47)</f>
        <v/>
      </c>
      <c r="E47" s="126" t="str">
        <f aca="false">IF('Matching Sheet'!E47 = "", "", 'Matching Sheet'!E47)</f>
        <v/>
      </c>
      <c r="F47" s="126" t="str">
        <f aca="false">IF(Matching_Tb[[#This Row],[CMT  Set-up]] = "", "", Matching_Tb[[#This Row],[CMT  Set-up]])</f>
        <v/>
      </c>
      <c r="G47" s="120" t="str">
        <f aca="false">IF(Matching_Tb[[#This Row],[Start date]] = "", "", Matching_Tb[[#This Row],[Start date]])</f>
        <v/>
      </c>
      <c r="H47" s="120" t="str">
        <f aca="false">IF(Matching_Tb[[#This Row],[End date]] = "", "", Matching_Tb[[#This Row],[End date]])</f>
        <v/>
      </c>
      <c r="I47" s="127" t="str">
        <f aca="false">IF(Matching_Tb[[#This Row],[Competitor URL]] = "", "", HYPERLINK(Matching_Tb[[#This Row],[Competitor URL]], "Link"))</f>
        <v/>
      </c>
      <c r="J47" s="122" t="str">
        <f aca="false">IF(Retail_Tb[[#This Row],[MKPL]] = "", "", IF(Matching_Tb[[#This Row],[Promo code]] = "", "N/A", Matching_Tb[[#This Row],[Promo code]]))</f>
        <v/>
      </c>
      <c r="K47" s="126" t="str">
        <f aca="false">IF(Matching_Tb[[#This Row],[Offer Details]] = "", "", Matching_Tb[[#This Row],[Offer Details]])</f>
        <v/>
      </c>
      <c r="L47" s="121" t="str">
        <f aca="false">IF(Matching_Tb[[#This Row],[TT Link]] = "", "", IF(Matching_Tb[[#This Row],[Can be matched ? ]] = "No", "", HYPERLINK(Matching_Tb[[#This Row],[TT Link]], "Link")))</f>
        <v/>
      </c>
      <c r="M47" s="128" t="str">
        <f aca="false">IF(Matching_Tb[[#This Row],[Comment]] = "", "", VLOOKUP(Matching_Tb[[#This Row],[Comment]],Disclaimers!$A$3:$C$100, 3, 0))</f>
        <v/>
      </c>
    </row>
    <row r="48" customFormat="false" ht="14.25" hidden="false" customHeight="false" outlineLevel="0" collapsed="false">
      <c r="A48" s="124"/>
      <c r="B48" s="125" t="str">
        <f aca="false">IF('Matching Sheet'!B48 = "", "", 'Matching Sheet'!B48)</f>
        <v/>
      </c>
      <c r="C48" s="126" t="str">
        <f aca="false">IF('Matching Sheet'!C48 = "", "", 'Matching Sheet'!C48)</f>
        <v/>
      </c>
      <c r="D48" s="126" t="str">
        <f aca="false">IF('Matching Sheet'!D48 = "", "", 'Matching Sheet'!D48)</f>
        <v/>
      </c>
      <c r="E48" s="126" t="str">
        <f aca="false">IF('Matching Sheet'!E48 = "", "", 'Matching Sheet'!E48)</f>
        <v/>
      </c>
      <c r="F48" s="126" t="str">
        <f aca="false">IF(Matching_Tb[[#This Row],[CMT  Set-up]] = "", "", Matching_Tb[[#This Row],[CMT  Set-up]])</f>
        <v/>
      </c>
      <c r="G48" s="120" t="str">
        <f aca="false">IF(Matching_Tb[[#This Row],[Start date]] = "", "", Matching_Tb[[#This Row],[Start date]])</f>
        <v/>
      </c>
      <c r="H48" s="120" t="str">
        <f aca="false">IF(Matching_Tb[[#This Row],[End date]] = "", "", Matching_Tb[[#This Row],[End date]])</f>
        <v/>
      </c>
      <c r="I48" s="127" t="str">
        <f aca="false">IF(Matching_Tb[[#This Row],[Competitor URL]] = "", "", HYPERLINK(Matching_Tb[[#This Row],[Competitor URL]], "Link"))</f>
        <v/>
      </c>
      <c r="J48" s="122" t="str">
        <f aca="false">IF(Retail_Tb[[#This Row],[MKPL]] = "", "", IF(Matching_Tb[[#This Row],[Promo code]] = "", "N/A", Matching_Tb[[#This Row],[Promo code]]))</f>
        <v/>
      </c>
      <c r="K48" s="126" t="str">
        <f aca="false">IF(Matching_Tb[[#This Row],[Offer Details]] = "", "", Matching_Tb[[#This Row],[Offer Details]])</f>
        <v/>
      </c>
      <c r="L48" s="121" t="str">
        <f aca="false">IF(Matching_Tb[[#This Row],[TT Link]] = "", "", IF(Matching_Tb[[#This Row],[Can be matched ? ]] = "No", "", HYPERLINK(Matching_Tb[[#This Row],[TT Link]], "Link")))</f>
        <v/>
      </c>
      <c r="M48" s="128" t="str">
        <f aca="false">IF(Matching_Tb[[#This Row],[Comment]] = "", "", VLOOKUP(Matching_Tb[[#This Row],[Comment]],Disclaimers!$A$3:$C$100, 3, 0))</f>
        <v/>
      </c>
    </row>
    <row r="49" customFormat="false" ht="14.25" hidden="false" customHeight="false" outlineLevel="0" collapsed="false">
      <c r="A49" s="124"/>
      <c r="B49" s="125" t="str">
        <f aca="false">IF('Matching Sheet'!B49 = "", "", 'Matching Sheet'!B49)</f>
        <v/>
      </c>
      <c r="C49" s="126" t="str">
        <f aca="false">IF('Matching Sheet'!C49 = "", "", 'Matching Sheet'!C49)</f>
        <v/>
      </c>
      <c r="D49" s="126" t="str">
        <f aca="false">IF('Matching Sheet'!D49 = "", "", 'Matching Sheet'!D49)</f>
        <v/>
      </c>
      <c r="E49" s="126" t="str">
        <f aca="false">IF('Matching Sheet'!E49 = "", "", 'Matching Sheet'!E49)</f>
        <v/>
      </c>
      <c r="F49" s="126" t="str">
        <f aca="false">IF(Matching_Tb[[#This Row],[CMT  Set-up]] = "", "", Matching_Tb[[#This Row],[CMT  Set-up]])</f>
        <v/>
      </c>
      <c r="G49" s="120" t="str">
        <f aca="false">IF(Matching_Tb[[#This Row],[Start date]] = "", "", Matching_Tb[[#This Row],[Start date]])</f>
        <v/>
      </c>
      <c r="H49" s="120" t="str">
        <f aca="false">IF(Matching_Tb[[#This Row],[End date]] = "", "", Matching_Tb[[#This Row],[End date]])</f>
        <v/>
      </c>
      <c r="I49" s="127" t="str">
        <f aca="false">IF(Matching_Tb[[#This Row],[Competitor URL]] = "", "", HYPERLINK(Matching_Tb[[#This Row],[Competitor URL]], "Link"))</f>
        <v/>
      </c>
      <c r="J49" s="122" t="str">
        <f aca="false">IF(Retail_Tb[[#This Row],[MKPL]] = "", "", IF(Matching_Tb[[#This Row],[Promo code]] = "", "N/A", Matching_Tb[[#This Row],[Promo code]]))</f>
        <v/>
      </c>
      <c r="K49" s="126" t="str">
        <f aca="false">IF(Matching_Tb[[#This Row],[Offer Details]] = "", "", Matching_Tb[[#This Row],[Offer Details]])</f>
        <v/>
      </c>
      <c r="L49" s="121" t="str">
        <f aca="false">IF(Matching_Tb[[#This Row],[TT Link]] = "", "", IF(Matching_Tb[[#This Row],[Can be matched ? ]] = "No", "", HYPERLINK(Matching_Tb[[#This Row],[TT Link]], "Link")))</f>
        <v/>
      </c>
      <c r="M49" s="128" t="str">
        <f aca="false">IF(Matching_Tb[[#This Row],[Comment]] = "", "", VLOOKUP(Matching_Tb[[#This Row],[Comment]],Disclaimers!$A$3:$C$100, 3, 0))</f>
        <v/>
      </c>
    </row>
    <row r="50" customFormat="false" ht="14.25" hidden="false" customHeight="false" outlineLevel="0" collapsed="false">
      <c r="A50" s="124"/>
      <c r="B50" s="125" t="str">
        <f aca="false">IF('Matching Sheet'!B50 = "", "", 'Matching Sheet'!B50)</f>
        <v/>
      </c>
      <c r="C50" s="126" t="str">
        <f aca="false">IF('Matching Sheet'!C50 = "", "", 'Matching Sheet'!C50)</f>
        <v/>
      </c>
      <c r="D50" s="126" t="str">
        <f aca="false">IF('Matching Sheet'!D50 = "", "", 'Matching Sheet'!D50)</f>
        <v/>
      </c>
      <c r="E50" s="126" t="str">
        <f aca="false">IF('Matching Sheet'!E50 = "", "", 'Matching Sheet'!E50)</f>
        <v/>
      </c>
      <c r="F50" s="126" t="str">
        <f aca="false">IF(Matching_Tb[[#This Row],[CMT  Set-up]] = "", "", Matching_Tb[[#This Row],[CMT  Set-up]])</f>
        <v/>
      </c>
      <c r="G50" s="120" t="str">
        <f aca="false">IF(Matching_Tb[[#This Row],[Start date]] = "", "", Matching_Tb[[#This Row],[Start date]])</f>
        <v/>
      </c>
      <c r="H50" s="120" t="str">
        <f aca="false">IF(Matching_Tb[[#This Row],[End date]] = "", "", Matching_Tb[[#This Row],[End date]])</f>
        <v/>
      </c>
      <c r="I50" s="127" t="str">
        <f aca="false">IF(Matching_Tb[[#This Row],[Competitor URL]] = "", "", HYPERLINK(Matching_Tb[[#This Row],[Competitor URL]], "Link"))</f>
        <v/>
      </c>
      <c r="J50" s="122" t="str">
        <f aca="false">IF(Retail_Tb[[#This Row],[MKPL]] = "", "", IF(Matching_Tb[[#This Row],[Promo code]] = "", "N/A", Matching_Tb[[#This Row],[Promo code]]))</f>
        <v/>
      </c>
      <c r="K50" s="126" t="str">
        <f aca="false">IF(Matching_Tb[[#This Row],[Offer Details]] = "", "", Matching_Tb[[#This Row],[Offer Details]])</f>
        <v/>
      </c>
      <c r="L50" s="121" t="str">
        <f aca="false">IF(Matching_Tb[[#This Row],[TT Link]] = "", "", IF(Matching_Tb[[#This Row],[Can be matched ? ]] = "No", "", HYPERLINK(Matching_Tb[[#This Row],[TT Link]], "Link")))</f>
        <v/>
      </c>
      <c r="M50" s="128" t="str">
        <f aca="false">IF(Matching_Tb[[#This Row],[Comment]] = "", "", VLOOKUP(Matching_Tb[[#This Row],[Comment]],Disclaimers!$A$3:$C$100, 3, 0))</f>
        <v/>
      </c>
    </row>
    <row r="51" customFormat="false" ht="14.25" hidden="false" customHeight="false" outlineLevel="0" collapsed="false">
      <c r="A51" s="124"/>
      <c r="B51" s="125" t="str">
        <f aca="false">IF('Matching Sheet'!B51 = "", "", 'Matching Sheet'!B51)</f>
        <v/>
      </c>
      <c r="C51" s="126" t="str">
        <f aca="false">IF('Matching Sheet'!C51 = "", "", 'Matching Sheet'!C51)</f>
        <v/>
      </c>
      <c r="D51" s="126" t="str">
        <f aca="false">IF('Matching Sheet'!D51 = "", "", 'Matching Sheet'!D51)</f>
        <v/>
      </c>
      <c r="E51" s="126" t="str">
        <f aca="false">IF('Matching Sheet'!E51 = "", "", 'Matching Sheet'!E51)</f>
        <v/>
      </c>
      <c r="F51" s="126" t="str">
        <f aca="false">IF(Matching_Tb[[#This Row],[CMT  Set-up]] = "", "", Matching_Tb[[#This Row],[CMT  Set-up]])</f>
        <v/>
      </c>
      <c r="G51" s="120" t="str">
        <f aca="false">IF(Matching_Tb[[#This Row],[Start date]] = "", "", Matching_Tb[[#This Row],[Start date]])</f>
        <v/>
      </c>
      <c r="H51" s="120" t="str">
        <f aca="false">IF(Matching_Tb[[#This Row],[End date]] = "", "", Matching_Tb[[#This Row],[End date]])</f>
        <v/>
      </c>
      <c r="I51" s="127" t="str">
        <f aca="false">IF(Matching_Tb[[#This Row],[Competitor URL]] = "", "", HYPERLINK(Matching_Tb[[#This Row],[Competitor URL]], "Link"))</f>
        <v/>
      </c>
      <c r="J51" s="122" t="str">
        <f aca="false">IF(Retail_Tb[[#This Row],[MKPL]] = "", "", IF(Matching_Tb[[#This Row],[Promo code]] = "", "N/A", Matching_Tb[[#This Row],[Promo code]]))</f>
        <v/>
      </c>
      <c r="K51" s="126" t="str">
        <f aca="false">IF(Matching_Tb[[#This Row],[Offer Details]] = "", "", Matching_Tb[[#This Row],[Offer Details]])</f>
        <v/>
      </c>
      <c r="L51" s="121" t="str">
        <f aca="false">IF(Matching_Tb[[#This Row],[TT Link]] = "", "", IF(Matching_Tb[[#This Row],[Can be matched ? ]] = "No", "", HYPERLINK(Matching_Tb[[#This Row],[TT Link]], "Link")))</f>
        <v/>
      </c>
      <c r="M51" s="128" t="str">
        <f aca="false">IF(Matching_Tb[[#This Row],[Comment]] = "", "", VLOOKUP(Matching_Tb[[#This Row],[Comment]],Disclaimers!$A$3:$C$100, 3, 0))</f>
        <v/>
      </c>
    </row>
    <row r="52" customFormat="false" ht="14.25" hidden="false" customHeight="false" outlineLevel="0" collapsed="false">
      <c r="A52" s="124"/>
      <c r="B52" s="125" t="str">
        <f aca="false">IF('Matching Sheet'!B52 = "", "", 'Matching Sheet'!B52)</f>
        <v/>
      </c>
      <c r="C52" s="126" t="str">
        <f aca="false">IF('Matching Sheet'!C52 = "", "", 'Matching Sheet'!C52)</f>
        <v/>
      </c>
      <c r="D52" s="126" t="str">
        <f aca="false">IF('Matching Sheet'!D52 = "", "", 'Matching Sheet'!D52)</f>
        <v/>
      </c>
      <c r="E52" s="126" t="str">
        <f aca="false">IF('Matching Sheet'!E52 = "", "", 'Matching Sheet'!E52)</f>
        <v/>
      </c>
      <c r="F52" s="126" t="str">
        <f aca="false">IF(Matching_Tb[[#This Row],[CMT  Set-up]] = "", "", Matching_Tb[[#This Row],[CMT  Set-up]])</f>
        <v/>
      </c>
      <c r="G52" s="120" t="str">
        <f aca="false">IF(Matching_Tb[[#This Row],[Start date]] = "", "", Matching_Tb[[#This Row],[Start date]])</f>
        <v/>
      </c>
      <c r="H52" s="120" t="str">
        <f aca="false">IF(Matching_Tb[[#This Row],[End date]] = "", "", Matching_Tb[[#This Row],[End date]])</f>
        <v/>
      </c>
      <c r="I52" s="127" t="str">
        <f aca="false">IF(Matching_Tb[[#This Row],[Competitor URL]] = "", "", HYPERLINK(Matching_Tb[[#This Row],[Competitor URL]], "Link"))</f>
        <v/>
      </c>
      <c r="J52" s="122" t="str">
        <f aca="false">IF(Retail_Tb[[#This Row],[MKPL]] = "", "", IF(Matching_Tb[[#This Row],[Promo code]] = "", "N/A", Matching_Tb[[#This Row],[Promo code]]))</f>
        <v/>
      </c>
      <c r="K52" s="126" t="str">
        <f aca="false">IF(Matching_Tb[[#This Row],[Offer Details]] = "", "", Matching_Tb[[#This Row],[Offer Details]])</f>
        <v/>
      </c>
      <c r="L52" s="121" t="str">
        <f aca="false">IF(Matching_Tb[[#This Row],[TT Link]] = "", "", IF(Matching_Tb[[#This Row],[Can be matched ? ]] = "No", "", HYPERLINK(Matching_Tb[[#This Row],[TT Link]], "Link")))</f>
        <v/>
      </c>
      <c r="M52" s="128" t="str">
        <f aca="false">IF(Matching_Tb[[#This Row],[Comment]] = "", "", VLOOKUP(Matching_Tb[[#This Row],[Comment]],Disclaimers!$A$3:$C$100, 3, 0))</f>
        <v/>
      </c>
    </row>
    <row r="53" customFormat="false" ht="14.25" hidden="false" customHeight="false" outlineLevel="0" collapsed="false">
      <c r="A53" s="124"/>
      <c r="B53" s="125" t="str">
        <f aca="false">IF('Matching Sheet'!B53 = "", "", 'Matching Sheet'!B53)</f>
        <v/>
      </c>
      <c r="C53" s="126" t="str">
        <f aca="false">IF('Matching Sheet'!C53 = "", "", 'Matching Sheet'!C53)</f>
        <v/>
      </c>
      <c r="D53" s="126" t="str">
        <f aca="false">IF('Matching Sheet'!D53 = "", "", 'Matching Sheet'!D53)</f>
        <v/>
      </c>
      <c r="E53" s="126" t="str">
        <f aca="false">IF('Matching Sheet'!E53 = "", "", 'Matching Sheet'!E53)</f>
        <v/>
      </c>
      <c r="F53" s="126" t="str">
        <f aca="false">IF(Matching_Tb[[#This Row],[CMT  Set-up]] = "", "", Matching_Tb[[#This Row],[CMT  Set-up]])</f>
        <v/>
      </c>
      <c r="G53" s="120" t="str">
        <f aca="false">IF(Matching_Tb[[#This Row],[Start date]] = "", "", Matching_Tb[[#This Row],[Start date]])</f>
        <v/>
      </c>
      <c r="H53" s="120" t="str">
        <f aca="false">IF(Matching_Tb[[#This Row],[End date]] = "", "", Matching_Tb[[#This Row],[End date]])</f>
        <v/>
      </c>
      <c r="I53" s="127" t="str">
        <f aca="false">IF(Matching_Tb[[#This Row],[Competitor URL]] = "", "", HYPERLINK(Matching_Tb[[#This Row],[Competitor URL]], "Link"))</f>
        <v/>
      </c>
      <c r="J53" s="122" t="str">
        <f aca="false">IF(Retail_Tb[[#This Row],[MKPL]] = "", "", IF(Matching_Tb[[#This Row],[Promo code]] = "", "N/A", Matching_Tb[[#This Row],[Promo code]]))</f>
        <v/>
      </c>
      <c r="K53" s="126" t="str">
        <f aca="false">IF(Matching_Tb[[#This Row],[Offer Details]] = "", "", Matching_Tb[[#This Row],[Offer Details]])</f>
        <v/>
      </c>
      <c r="L53" s="121" t="str">
        <f aca="false">IF(Matching_Tb[[#This Row],[TT Link]] = "", "", IF(Matching_Tb[[#This Row],[Can be matched ? ]] = "No", "", HYPERLINK(Matching_Tb[[#This Row],[TT Link]], "Link")))</f>
        <v/>
      </c>
      <c r="M53" s="128" t="str">
        <f aca="false">IF(Matching_Tb[[#This Row],[Comment]] = "", "", VLOOKUP(Matching_Tb[[#This Row],[Comment]],Disclaimers!$A$3:$C$100, 3, 0))</f>
        <v/>
      </c>
    </row>
    <row r="54" customFormat="false" ht="14.25" hidden="false" customHeight="false" outlineLevel="0" collapsed="false">
      <c r="A54" s="124"/>
      <c r="B54" s="125" t="str">
        <f aca="false">IF('Matching Sheet'!B54 = "", "", 'Matching Sheet'!B54)</f>
        <v/>
      </c>
      <c r="C54" s="126" t="str">
        <f aca="false">IF('Matching Sheet'!C54 = "", "", 'Matching Sheet'!C54)</f>
        <v/>
      </c>
      <c r="D54" s="126" t="str">
        <f aca="false">IF('Matching Sheet'!D54 = "", "", 'Matching Sheet'!D54)</f>
        <v/>
      </c>
      <c r="E54" s="126" t="str">
        <f aca="false">IF('Matching Sheet'!E54 = "", "", 'Matching Sheet'!E54)</f>
        <v/>
      </c>
      <c r="F54" s="126" t="str">
        <f aca="false">IF(Matching_Tb[[#This Row],[CMT  Set-up]] = "", "", Matching_Tb[[#This Row],[CMT  Set-up]])</f>
        <v/>
      </c>
      <c r="G54" s="120" t="str">
        <f aca="false">IF(Matching_Tb[[#This Row],[Start date]] = "", "", Matching_Tb[[#This Row],[Start date]])</f>
        <v/>
      </c>
      <c r="H54" s="120" t="str">
        <f aca="false">IF(Matching_Tb[[#This Row],[End date]] = "", "", Matching_Tb[[#This Row],[End date]])</f>
        <v/>
      </c>
      <c r="I54" s="127" t="str">
        <f aca="false">IF(Matching_Tb[[#This Row],[Competitor URL]] = "", "", HYPERLINK(Matching_Tb[[#This Row],[Competitor URL]], "Link"))</f>
        <v/>
      </c>
      <c r="J54" s="122" t="str">
        <f aca="false">IF(Retail_Tb[[#This Row],[MKPL]] = "", "", IF(Matching_Tb[[#This Row],[Promo code]] = "", "N/A", Matching_Tb[[#This Row],[Promo code]]))</f>
        <v/>
      </c>
      <c r="K54" s="126" t="str">
        <f aca="false">IF(Matching_Tb[[#This Row],[Offer Details]] = "", "", Matching_Tb[[#This Row],[Offer Details]])</f>
        <v/>
      </c>
      <c r="L54" s="121" t="str">
        <f aca="false">IF(Matching_Tb[[#This Row],[TT Link]] = "", "", IF(Matching_Tb[[#This Row],[Can be matched ? ]] = "No", "", HYPERLINK(Matching_Tb[[#This Row],[TT Link]], "Link")))</f>
        <v/>
      </c>
      <c r="M54" s="128" t="str">
        <f aca="false">IF(Matching_Tb[[#This Row],[Comment]] = "", "", VLOOKUP(Matching_Tb[[#This Row],[Comment]],Disclaimers!$A$3:$C$100, 3, 0))</f>
        <v/>
      </c>
    </row>
    <row r="55" customFormat="false" ht="14.25" hidden="false" customHeight="false" outlineLevel="0" collapsed="false">
      <c r="A55" s="124"/>
      <c r="B55" s="125" t="str">
        <f aca="false">IF('Matching Sheet'!B55 = "", "", 'Matching Sheet'!B55)</f>
        <v/>
      </c>
      <c r="C55" s="126" t="str">
        <f aca="false">IF('Matching Sheet'!C55 = "", "", 'Matching Sheet'!C55)</f>
        <v/>
      </c>
      <c r="D55" s="126" t="str">
        <f aca="false">IF('Matching Sheet'!D55 = "", "", 'Matching Sheet'!D55)</f>
        <v/>
      </c>
      <c r="E55" s="126" t="str">
        <f aca="false">IF('Matching Sheet'!E55 = "", "", 'Matching Sheet'!E55)</f>
        <v/>
      </c>
      <c r="F55" s="126" t="str">
        <f aca="false">IF(Matching_Tb[[#This Row],[CMT  Set-up]] = "", "", Matching_Tb[[#This Row],[CMT  Set-up]])</f>
        <v/>
      </c>
      <c r="G55" s="120" t="str">
        <f aca="false">IF(Matching_Tb[[#This Row],[Start date]] = "", "", Matching_Tb[[#This Row],[Start date]])</f>
        <v/>
      </c>
      <c r="H55" s="120" t="str">
        <f aca="false">IF(Matching_Tb[[#This Row],[End date]] = "", "", Matching_Tb[[#This Row],[End date]])</f>
        <v/>
      </c>
      <c r="I55" s="127" t="str">
        <f aca="false">IF(Matching_Tb[[#This Row],[Competitor URL]] = "", "", HYPERLINK(Matching_Tb[[#This Row],[Competitor URL]], "Link"))</f>
        <v/>
      </c>
      <c r="J55" s="122" t="str">
        <f aca="false">IF(Retail_Tb[[#This Row],[MKPL]] = "", "", IF(Matching_Tb[[#This Row],[Promo code]] = "", "N/A", Matching_Tb[[#This Row],[Promo code]]))</f>
        <v/>
      </c>
      <c r="K55" s="126" t="str">
        <f aca="false">IF(Matching_Tb[[#This Row],[Offer Details]] = "", "", Matching_Tb[[#This Row],[Offer Details]])</f>
        <v/>
      </c>
      <c r="L55" s="121" t="str">
        <f aca="false">IF(Matching_Tb[[#This Row],[TT Link]] = "", "", IF(Matching_Tb[[#This Row],[Can be matched ? ]] = "No", "", HYPERLINK(Matching_Tb[[#This Row],[TT Link]], "Link")))</f>
        <v/>
      </c>
      <c r="M55" s="128" t="str">
        <f aca="false">IF(Matching_Tb[[#This Row],[Comment]] = "", "", VLOOKUP(Matching_Tb[[#This Row],[Comment]],Disclaimers!$A$3:$C$100, 3, 0))</f>
        <v/>
      </c>
    </row>
    <row r="56" customFormat="false" ht="14.25" hidden="false" customHeight="false" outlineLevel="0" collapsed="false">
      <c r="A56" s="124"/>
      <c r="B56" s="125" t="str">
        <f aca="false">IF('Matching Sheet'!B56 = "", "", 'Matching Sheet'!B56)</f>
        <v/>
      </c>
      <c r="C56" s="126" t="str">
        <f aca="false">IF('Matching Sheet'!C56 = "", "", 'Matching Sheet'!C56)</f>
        <v/>
      </c>
      <c r="D56" s="126" t="str">
        <f aca="false">IF('Matching Sheet'!D56 = "", "", 'Matching Sheet'!D56)</f>
        <v/>
      </c>
      <c r="E56" s="126" t="str">
        <f aca="false">IF('Matching Sheet'!E56 = "", "", 'Matching Sheet'!E56)</f>
        <v/>
      </c>
      <c r="F56" s="126" t="str">
        <f aca="false">IF(Matching_Tb[[#This Row],[CMT  Set-up]] = "", "", Matching_Tb[[#This Row],[CMT  Set-up]])</f>
        <v/>
      </c>
      <c r="G56" s="120" t="str">
        <f aca="false">IF(Matching_Tb[[#This Row],[Start date]] = "", "", Matching_Tb[[#This Row],[Start date]])</f>
        <v/>
      </c>
      <c r="H56" s="120" t="str">
        <f aca="false">IF(Matching_Tb[[#This Row],[End date]] = "", "", Matching_Tb[[#This Row],[End date]])</f>
        <v/>
      </c>
      <c r="I56" s="127" t="str">
        <f aca="false">IF(Matching_Tb[[#This Row],[Competitor URL]] = "", "", HYPERLINK(Matching_Tb[[#This Row],[Competitor URL]], "Link"))</f>
        <v/>
      </c>
      <c r="J56" s="122" t="str">
        <f aca="false">IF(Retail_Tb[[#This Row],[MKPL]] = "", "", IF(Matching_Tb[[#This Row],[Promo code]] = "", "N/A", Matching_Tb[[#This Row],[Promo code]]))</f>
        <v/>
      </c>
      <c r="K56" s="126" t="str">
        <f aca="false">IF(Matching_Tb[[#This Row],[Offer Details]] = "", "", Matching_Tb[[#This Row],[Offer Details]])</f>
        <v/>
      </c>
      <c r="L56" s="121" t="str">
        <f aca="false">IF(Matching_Tb[[#This Row],[TT Link]] = "", "", IF(Matching_Tb[[#This Row],[Can be matched ? ]] = "No", "", HYPERLINK(Matching_Tb[[#This Row],[TT Link]], "Link")))</f>
        <v/>
      </c>
      <c r="M56" s="128" t="str">
        <f aca="false">IF(Matching_Tb[[#This Row],[Comment]] = "", "", VLOOKUP(Matching_Tb[[#This Row],[Comment]],Disclaimers!$A$3:$C$100, 3, 0))</f>
        <v/>
      </c>
    </row>
    <row r="57" customFormat="false" ht="14.25" hidden="false" customHeight="false" outlineLevel="0" collapsed="false">
      <c r="A57" s="124"/>
      <c r="B57" s="125" t="str">
        <f aca="false">IF('Matching Sheet'!B57 = "", "", 'Matching Sheet'!B57)</f>
        <v/>
      </c>
      <c r="C57" s="126" t="str">
        <f aca="false">IF('Matching Sheet'!C57 = "", "", 'Matching Sheet'!C57)</f>
        <v/>
      </c>
      <c r="D57" s="126" t="str">
        <f aca="false">IF('Matching Sheet'!D57 = "", "", 'Matching Sheet'!D57)</f>
        <v/>
      </c>
      <c r="E57" s="126" t="str">
        <f aca="false">IF('Matching Sheet'!E57 = "", "", 'Matching Sheet'!E57)</f>
        <v/>
      </c>
      <c r="F57" s="126" t="str">
        <f aca="false">IF(Matching_Tb[[#This Row],[CMT  Set-up]] = "", "", Matching_Tb[[#This Row],[CMT  Set-up]])</f>
        <v/>
      </c>
      <c r="G57" s="120" t="str">
        <f aca="false">IF(Matching_Tb[[#This Row],[Start date]] = "", "", Matching_Tb[[#This Row],[Start date]])</f>
        <v/>
      </c>
      <c r="H57" s="120" t="str">
        <f aca="false">IF(Matching_Tb[[#This Row],[End date]] = "", "", Matching_Tb[[#This Row],[End date]])</f>
        <v/>
      </c>
      <c r="I57" s="127" t="str">
        <f aca="false">IF(Matching_Tb[[#This Row],[Competitor URL]] = "", "", HYPERLINK(Matching_Tb[[#This Row],[Competitor URL]], "Link"))</f>
        <v/>
      </c>
      <c r="J57" s="122" t="str">
        <f aca="false">IF(Retail_Tb[[#This Row],[MKPL]] = "", "", IF(Matching_Tb[[#This Row],[Promo code]] = "", "N/A", Matching_Tb[[#This Row],[Promo code]]))</f>
        <v/>
      </c>
      <c r="K57" s="126" t="str">
        <f aca="false">IF(Matching_Tb[[#This Row],[Offer Details]] = "", "", Matching_Tb[[#This Row],[Offer Details]])</f>
        <v/>
      </c>
      <c r="L57" s="121" t="str">
        <f aca="false">IF(Matching_Tb[[#This Row],[TT Link]] = "", "", IF(Matching_Tb[[#This Row],[Can be matched ? ]] = "No", "", HYPERLINK(Matching_Tb[[#This Row],[TT Link]], "Link")))</f>
        <v/>
      </c>
      <c r="M57" s="128" t="str">
        <f aca="false">IF(Matching_Tb[[#This Row],[Comment]] = "", "", VLOOKUP(Matching_Tb[[#This Row],[Comment]],Disclaimers!$A$3:$C$100, 3, 0))</f>
        <v/>
      </c>
    </row>
    <row r="58" customFormat="false" ht="14.25" hidden="false" customHeight="false" outlineLevel="0" collapsed="false">
      <c r="A58" s="124"/>
      <c r="B58" s="125" t="str">
        <f aca="false">IF('Matching Sheet'!B58 = "", "", 'Matching Sheet'!B58)</f>
        <v/>
      </c>
      <c r="C58" s="126" t="str">
        <f aca="false">IF('Matching Sheet'!C58 = "", "", 'Matching Sheet'!C58)</f>
        <v/>
      </c>
      <c r="D58" s="126" t="str">
        <f aca="false">IF('Matching Sheet'!D58 = "", "", 'Matching Sheet'!D58)</f>
        <v/>
      </c>
      <c r="E58" s="126" t="str">
        <f aca="false">IF('Matching Sheet'!E58 = "", "", 'Matching Sheet'!E58)</f>
        <v/>
      </c>
      <c r="F58" s="126" t="str">
        <f aca="false">IF(Matching_Tb[[#This Row],[CMT  Set-up]] = "", "", Matching_Tb[[#This Row],[CMT  Set-up]])</f>
        <v/>
      </c>
      <c r="G58" s="120" t="str">
        <f aca="false">IF(Matching_Tb[[#This Row],[Start date]] = "", "", Matching_Tb[[#This Row],[Start date]])</f>
        <v/>
      </c>
      <c r="H58" s="120" t="str">
        <f aca="false">IF(Matching_Tb[[#This Row],[End date]] = "", "", Matching_Tb[[#This Row],[End date]])</f>
        <v/>
      </c>
      <c r="I58" s="127" t="str">
        <f aca="false">IF(Matching_Tb[[#This Row],[Competitor URL]] = "", "", HYPERLINK(Matching_Tb[[#This Row],[Competitor URL]], "Link"))</f>
        <v/>
      </c>
      <c r="J58" s="122" t="str">
        <f aca="false">IF(Retail_Tb[[#This Row],[MKPL]] = "", "", IF(Matching_Tb[[#This Row],[Promo code]] = "", "N/A", Matching_Tb[[#This Row],[Promo code]]))</f>
        <v/>
      </c>
      <c r="K58" s="126" t="str">
        <f aca="false">IF(Matching_Tb[[#This Row],[Offer Details]] = "", "", Matching_Tb[[#This Row],[Offer Details]])</f>
        <v/>
      </c>
      <c r="L58" s="121" t="str">
        <f aca="false">IF(Matching_Tb[[#This Row],[TT Link]] = "", "", IF(Matching_Tb[[#This Row],[Can be matched ? ]] = "No", "", HYPERLINK(Matching_Tb[[#This Row],[TT Link]], "Link")))</f>
        <v/>
      </c>
      <c r="M58" s="128" t="str">
        <f aca="false">IF(Matching_Tb[[#This Row],[Comment]] = "", "", VLOOKUP(Matching_Tb[[#This Row],[Comment]],Disclaimers!$A$3:$C$100, 3, 0))</f>
        <v/>
      </c>
    </row>
    <row r="59" customFormat="false" ht="14.25" hidden="false" customHeight="false" outlineLevel="0" collapsed="false">
      <c r="A59" s="124"/>
      <c r="B59" s="125" t="str">
        <f aca="false">IF('Matching Sheet'!B59 = "", "", 'Matching Sheet'!B59)</f>
        <v/>
      </c>
      <c r="C59" s="126" t="str">
        <f aca="false">IF('Matching Sheet'!C59 = "", "", 'Matching Sheet'!C59)</f>
        <v/>
      </c>
      <c r="D59" s="126" t="str">
        <f aca="false">IF('Matching Sheet'!D59 = "", "", 'Matching Sheet'!D59)</f>
        <v/>
      </c>
      <c r="E59" s="126" t="str">
        <f aca="false">IF('Matching Sheet'!E59 = "", "", 'Matching Sheet'!E59)</f>
        <v/>
      </c>
      <c r="F59" s="126" t="str">
        <f aca="false">IF(Matching_Tb[[#This Row],[CMT  Set-up]] = "", "", Matching_Tb[[#This Row],[CMT  Set-up]])</f>
        <v/>
      </c>
      <c r="G59" s="120" t="str">
        <f aca="false">IF(Matching_Tb[[#This Row],[Start date]] = "", "", Matching_Tb[[#This Row],[Start date]])</f>
        <v/>
      </c>
      <c r="H59" s="120" t="str">
        <f aca="false">IF(Matching_Tb[[#This Row],[End date]] = "", "", Matching_Tb[[#This Row],[End date]])</f>
        <v/>
      </c>
      <c r="I59" s="127" t="str">
        <f aca="false">IF(Matching_Tb[[#This Row],[Competitor URL]] = "", "", HYPERLINK(Matching_Tb[[#This Row],[Competitor URL]], "Link"))</f>
        <v/>
      </c>
      <c r="J59" s="122" t="str">
        <f aca="false">IF(Retail_Tb[[#This Row],[MKPL]] = "", "", IF(Matching_Tb[[#This Row],[Promo code]] = "", "N/A", Matching_Tb[[#This Row],[Promo code]]))</f>
        <v/>
      </c>
      <c r="K59" s="126" t="str">
        <f aca="false">IF(Matching_Tb[[#This Row],[Offer Details]] = "", "", Matching_Tb[[#This Row],[Offer Details]])</f>
        <v/>
      </c>
      <c r="L59" s="121" t="str">
        <f aca="false">IF(Matching_Tb[[#This Row],[TT Link]] = "", "", IF(Matching_Tb[[#This Row],[Can be matched ? ]] = "No", "", HYPERLINK(Matching_Tb[[#This Row],[TT Link]], "Link")))</f>
        <v/>
      </c>
      <c r="M59" s="128" t="str">
        <f aca="false">IF(Matching_Tb[[#This Row],[Comment]] = "", "", VLOOKUP(Matching_Tb[[#This Row],[Comment]],Disclaimers!$A$3:$C$100, 3, 0))</f>
        <v/>
      </c>
    </row>
    <row r="60" customFormat="false" ht="14.25" hidden="false" customHeight="false" outlineLevel="0" collapsed="false">
      <c r="A60" s="124"/>
      <c r="B60" s="125" t="str">
        <f aca="false">IF('Matching Sheet'!B60 = "", "", 'Matching Sheet'!B60)</f>
        <v/>
      </c>
      <c r="C60" s="126" t="str">
        <f aca="false">IF('Matching Sheet'!C60 = "", "", 'Matching Sheet'!C60)</f>
        <v/>
      </c>
      <c r="D60" s="126" t="str">
        <f aca="false">IF('Matching Sheet'!D60 = "", "", 'Matching Sheet'!D60)</f>
        <v/>
      </c>
      <c r="E60" s="126" t="str">
        <f aca="false">IF('Matching Sheet'!E60 = "", "", 'Matching Sheet'!E60)</f>
        <v/>
      </c>
      <c r="F60" s="126" t="str">
        <f aca="false">IF(Matching_Tb[[#This Row],[CMT  Set-up]] = "", "", Matching_Tb[[#This Row],[CMT  Set-up]])</f>
        <v/>
      </c>
      <c r="G60" s="120" t="str">
        <f aca="false">IF(Matching_Tb[[#This Row],[Start date]] = "", "", Matching_Tb[[#This Row],[Start date]])</f>
        <v/>
      </c>
      <c r="H60" s="120" t="str">
        <f aca="false">IF(Matching_Tb[[#This Row],[End date]] = "", "", Matching_Tb[[#This Row],[End date]])</f>
        <v/>
      </c>
      <c r="I60" s="127" t="str">
        <f aca="false">IF(Matching_Tb[[#This Row],[Competitor URL]] = "", "", HYPERLINK(Matching_Tb[[#This Row],[Competitor URL]], "Link"))</f>
        <v/>
      </c>
      <c r="J60" s="122" t="str">
        <f aca="false">IF(Retail_Tb[[#This Row],[MKPL]] = "", "", IF(Matching_Tb[[#This Row],[Promo code]] = "", "N/A", Matching_Tb[[#This Row],[Promo code]]))</f>
        <v/>
      </c>
      <c r="K60" s="126" t="str">
        <f aca="false">IF(Matching_Tb[[#This Row],[Offer Details]] = "", "", Matching_Tb[[#This Row],[Offer Details]])</f>
        <v/>
      </c>
      <c r="L60" s="121" t="str">
        <f aca="false">IF(Matching_Tb[[#This Row],[TT Link]] = "", "", IF(Matching_Tb[[#This Row],[Can be matched ? ]] = "No", "", HYPERLINK(Matching_Tb[[#This Row],[TT Link]], "Link")))</f>
        <v/>
      </c>
      <c r="M60" s="128" t="str">
        <f aca="false">IF(Matching_Tb[[#This Row],[Comment]] = "", "", VLOOKUP(Matching_Tb[[#This Row],[Comment]],Disclaimers!$A$3:$C$100, 3, 0))</f>
        <v/>
      </c>
    </row>
    <row r="61" customFormat="false" ht="14.25" hidden="false" customHeight="false" outlineLevel="0" collapsed="false">
      <c r="A61" s="124"/>
      <c r="B61" s="125" t="str">
        <f aca="false">IF('Matching Sheet'!B61 = "", "", 'Matching Sheet'!B61)</f>
        <v/>
      </c>
      <c r="C61" s="126" t="str">
        <f aca="false">IF('Matching Sheet'!C61 = "", "", 'Matching Sheet'!C61)</f>
        <v/>
      </c>
      <c r="D61" s="126" t="str">
        <f aca="false">IF('Matching Sheet'!D61 = "", "", 'Matching Sheet'!D61)</f>
        <v/>
      </c>
      <c r="E61" s="126" t="str">
        <f aca="false">IF('Matching Sheet'!E61 = "", "", 'Matching Sheet'!E61)</f>
        <v/>
      </c>
      <c r="F61" s="126" t="str">
        <f aca="false">IF(Matching_Tb[[#This Row],[CMT  Set-up]] = "", "", Matching_Tb[[#This Row],[CMT  Set-up]])</f>
        <v/>
      </c>
      <c r="G61" s="120" t="str">
        <f aca="false">IF(Matching_Tb[[#This Row],[Start date]] = "", "", Matching_Tb[[#This Row],[Start date]])</f>
        <v/>
      </c>
      <c r="H61" s="120" t="str">
        <f aca="false">IF(Matching_Tb[[#This Row],[End date]] = "", "", Matching_Tb[[#This Row],[End date]])</f>
        <v/>
      </c>
      <c r="I61" s="127" t="str">
        <f aca="false">IF(Matching_Tb[[#This Row],[Competitor URL]] = "", "", HYPERLINK(Matching_Tb[[#This Row],[Competitor URL]], "Link"))</f>
        <v/>
      </c>
      <c r="J61" s="122" t="str">
        <f aca="false">IF(Retail_Tb[[#This Row],[MKPL]] = "", "", IF(Matching_Tb[[#This Row],[Promo code]] = "", "N/A", Matching_Tb[[#This Row],[Promo code]]))</f>
        <v/>
      </c>
      <c r="K61" s="126" t="str">
        <f aca="false">IF(Matching_Tb[[#This Row],[Offer Details]] = "", "", Matching_Tb[[#This Row],[Offer Details]])</f>
        <v/>
      </c>
      <c r="L61" s="121" t="str">
        <f aca="false">IF(Matching_Tb[[#This Row],[TT Link]] = "", "", IF(Matching_Tb[[#This Row],[Can be matched ? ]] = "No", "", HYPERLINK(Matching_Tb[[#This Row],[TT Link]], "Link")))</f>
        <v/>
      </c>
      <c r="M61" s="128" t="str">
        <f aca="false">IF(Matching_Tb[[#This Row],[Comment]] = "", "", VLOOKUP(Matching_Tb[[#This Row],[Comment]],Disclaimers!$A$3:$C$100, 3, 0))</f>
        <v/>
      </c>
    </row>
    <row r="62" customFormat="false" ht="14.25" hidden="false" customHeight="false" outlineLevel="0" collapsed="false">
      <c r="A62" s="124"/>
      <c r="B62" s="125" t="str">
        <f aca="false">IF('Matching Sheet'!B62 = "", "", 'Matching Sheet'!B62)</f>
        <v/>
      </c>
      <c r="C62" s="126" t="str">
        <f aca="false">IF('Matching Sheet'!C62 = "", "", 'Matching Sheet'!C62)</f>
        <v/>
      </c>
      <c r="D62" s="126" t="str">
        <f aca="false">IF('Matching Sheet'!D62 = "", "", 'Matching Sheet'!D62)</f>
        <v/>
      </c>
      <c r="E62" s="126" t="str">
        <f aca="false">IF('Matching Sheet'!E62 = "", "", 'Matching Sheet'!E62)</f>
        <v/>
      </c>
      <c r="F62" s="126" t="str">
        <f aca="false">IF(Matching_Tb[[#This Row],[CMT  Set-up]] = "", "", Matching_Tb[[#This Row],[CMT  Set-up]])</f>
        <v/>
      </c>
      <c r="G62" s="120" t="str">
        <f aca="false">IF(Matching_Tb[[#This Row],[Start date]] = "", "", Matching_Tb[[#This Row],[Start date]])</f>
        <v/>
      </c>
      <c r="H62" s="120" t="str">
        <f aca="false">IF(Matching_Tb[[#This Row],[End date]] = "", "", Matching_Tb[[#This Row],[End date]])</f>
        <v/>
      </c>
      <c r="I62" s="127" t="str">
        <f aca="false">IF(Matching_Tb[[#This Row],[Competitor URL]] = "", "", HYPERLINK(Matching_Tb[[#This Row],[Competitor URL]], "Link"))</f>
        <v/>
      </c>
      <c r="J62" s="122" t="str">
        <f aca="false">IF(Retail_Tb[[#This Row],[MKPL]] = "", "", IF(Matching_Tb[[#This Row],[Promo code]] = "", "N/A", Matching_Tb[[#This Row],[Promo code]]))</f>
        <v/>
      </c>
      <c r="K62" s="126" t="str">
        <f aca="false">IF(Matching_Tb[[#This Row],[Offer Details]] = "", "", Matching_Tb[[#This Row],[Offer Details]])</f>
        <v/>
      </c>
      <c r="L62" s="121" t="str">
        <f aca="false">IF(Matching_Tb[[#This Row],[TT Link]] = "", "", IF(Matching_Tb[[#This Row],[Can be matched ? ]] = "No", "", HYPERLINK(Matching_Tb[[#This Row],[TT Link]], "Link")))</f>
        <v/>
      </c>
      <c r="M62" s="128" t="str">
        <f aca="false">IF(Matching_Tb[[#This Row],[Comment]] = "", "", VLOOKUP(Matching_Tb[[#This Row],[Comment]],Disclaimers!$A$3:$C$100, 3, 0))</f>
        <v/>
      </c>
    </row>
    <row r="63" customFormat="false" ht="14.25" hidden="false" customHeight="false" outlineLevel="0" collapsed="false">
      <c r="A63" s="124"/>
      <c r="B63" s="125" t="str">
        <f aca="false">IF('Matching Sheet'!B63 = "", "", 'Matching Sheet'!B63)</f>
        <v/>
      </c>
      <c r="C63" s="126" t="str">
        <f aca="false">IF('Matching Sheet'!C63 = "", "", 'Matching Sheet'!C63)</f>
        <v/>
      </c>
      <c r="D63" s="126" t="str">
        <f aca="false">IF('Matching Sheet'!D63 = "", "", 'Matching Sheet'!D63)</f>
        <v/>
      </c>
      <c r="E63" s="126" t="str">
        <f aca="false">IF('Matching Sheet'!E63 = "", "", 'Matching Sheet'!E63)</f>
        <v/>
      </c>
      <c r="F63" s="126" t="str">
        <f aca="false">IF(Matching_Tb[[#This Row],[CMT  Set-up]] = "", "", Matching_Tb[[#This Row],[CMT  Set-up]])</f>
        <v/>
      </c>
      <c r="G63" s="120" t="str">
        <f aca="false">IF(Matching_Tb[[#This Row],[Start date]] = "", "", Matching_Tb[[#This Row],[Start date]])</f>
        <v/>
      </c>
      <c r="H63" s="120" t="str">
        <f aca="false">IF(Matching_Tb[[#This Row],[End date]] = "", "", Matching_Tb[[#This Row],[End date]])</f>
        <v/>
      </c>
      <c r="I63" s="127" t="str">
        <f aca="false">IF(Matching_Tb[[#This Row],[Competitor URL]] = "", "", HYPERLINK(Matching_Tb[[#This Row],[Competitor URL]], "Link"))</f>
        <v/>
      </c>
      <c r="J63" s="122" t="str">
        <f aca="false">IF(Retail_Tb[[#This Row],[MKPL]] = "", "", IF(Matching_Tb[[#This Row],[Promo code]] = "", "N/A", Matching_Tb[[#This Row],[Promo code]]))</f>
        <v/>
      </c>
      <c r="K63" s="126" t="str">
        <f aca="false">IF(Matching_Tb[[#This Row],[Offer Details]] = "", "", Matching_Tb[[#This Row],[Offer Details]])</f>
        <v/>
      </c>
      <c r="L63" s="121" t="str">
        <f aca="false">IF(Matching_Tb[[#This Row],[TT Link]] = "", "", IF(Matching_Tb[[#This Row],[Can be matched ? ]] = "No", "", HYPERLINK(Matching_Tb[[#This Row],[TT Link]], "Link")))</f>
        <v/>
      </c>
      <c r="M63" s="128" t="str">
        <f aca="false">IF(Matching_Tb[[#This Row],[Comment]] = "", "", VLOOKUP(Matching_Tb[[#This Row],[Comment]],Disclaimers!$A$3:$C$100, 3, 0))</f>
        <v/>
      </c>
    </row>
    <row r="64" customFormat="false" ht="14.25" hidden="false" customHeight="false" outlineLevel="0" collapsed="false">
      <c r="A64" s="124"/>
      <c r="B64" s="125" t="str">
        <f aca="false">IF('Matching Sheet'!B64 = "", "", 'Matching Sheet'!B64)</f>
        <v/>
      </c>
      <c r="C64" s="126" t="str">
        <f aca="false">IF('Matching Sheet'!C64 = "", "", 'Matching Sheet'!C64)</f>
        <v/>
      </c>
      <c r="D64" s="126" t="str">
        <f aca="false">IF('Matching Sheet'!D64 = "", "", 'Matching Sheet'!D64)</f>
        <v/>
      </c>
      <c r="E64" s="126" t="str">
        <f aca="false">IF('Matching Sheet'!E64 = "", "", 'Matching Sheet'!E64)</f>
        <v/>
      </c>
      <c r="F64" s="126" t="str">
        <f aca="false">IF(Matching_Tb[[#This Row],[CMT  Set-up]] = "", "", Matching_Tb[[#This Row],[CMT  Set-up]])</f>
        <v/>
      </c>
      <c r="G64" s="120" t="str">
        <f aca="false">IF(Matching_Tb[[#This Row],[Start date]] = "", "", Matching_Tb[[#This Row],[Start date]])</f>
        <v/>
      </c>
      <c r="H64" s="120" t="str">
        <f aca="false">IF(Matching_Tb[[#This Row],[End date]] = "", "", Matching_Tb[[#This Row],[End date]])</f>
        <v/>
      </c>
      <c r="I64" s="127" t="str">
        <f aca="false">IF(Matching_Tb[[#This Row],[Competitor URL]] = "", "", HYPERLINK(Matching_Tb[[#This Row],[Competitor URL]], "Link"))</f>
        <v/>
      </c>
      <c r="J64" s="122" t="str">
        <f aca="false">IF(Retail_Tb[[#This Row],[MKPL]] = "", "", IF(Matching_Tb[[#This Row],[Promo code]] = "", "N/A", Matching_Tb[[#This Row],[Promo code]]))</f>
        <v/>
      </c>
      <c r="K64" s="126" t="str">
        <f aca="false">IF(Matching_Tb[[#This Row],[Offer Details]] = "", "", Matching_Tb[[#This Row],[Offer Details]])</f>
        <v/>
      </c>
      <c r="L64" s="121" t="str">
        <f aca="false">IF(Matching_Tb[[#This Row],[TT Link]] = "", "", IF(Matching_Tb[[#This Row],[Can be matched ? ]] = "No", "", HYPERLINK(Matching_Tb[[#This Row],[TT Link]], "Link")))</f>
        <v/>
      </c>
      <c r="M64" s="128" t="str">
        <f aca="false">IF(Matching_Tb[[#This Row],[Comment]] = "", "", VLOOKUP(Matching_Tb[[#This Row],[Comment]],Disclaimers!$A$3:$C$100, 3, 0))</f>
        <v/>
      </c>
    </row>
    <row r="65" customFormat="false" ht="14.25" hidden="false" customHeight="false" outlineLevel="0" collapsed="false">
      <c r="A65" s="124"/>
      <c r="B65" s="125" t="str">
        <f aca="false">IF('Matching Sheet'!B65 = "", "", 'Matching Sheet'!B65)</f>
        <v/>
      </c>
      <c r="C65" s="126" t="str">
        <f aca="false">IF('Matching Sheet'!C65 = "", "", 'Matching Sheet'!C65)</f>
        <v/>
      </c>
      <c r="D65" s="126" t="str">
        <f aca="false">IF('Matching Sheet'!D65 = "", "", 'Matching Sheet'!D65)</f>
        <v/>
      </c>
      <c r="E65" s="126" t="str">
        <f aca="false">IF('Matching Sheet'!E65 = "", "", 'Matching Sheet'!E65)</f>
        <v/>
      </c>
      <c r="F65" s="126" t="str">
        <f aca="false">IF(Matching_Tb[[#This Row],[CMT  Set-up]] = "", "", Matching_Tb[[#This Row],[CMT  Set-up]])</f>
        <v/>
      </c>
      <c r="G65" s="120" t="str">
        <f aca="false">IF(Matching_Tb[[#This Row],[Start date]] = "", "", Matching_Tb[[#This Row],[Start date]])</f>
        <v/>
      </c>
      <c r="H65" s="120" t="str">
        <f aca="false">IF(Matching_Tb[[#This Row],[End date]] = "", "", Matching_Tb[[#This Row],[End date]])</f>
        <v/>
      </c>
      <c r="I65" s="127" t="str">
        <f aca="false">IF(Matching_Tb[[#This Row],[Competitor URL]] = "", "", HYPERLINK(Matching_Tb[[#This Row],[Competitor URL]], "Link"))</f>
        <v/>
      </c>
      <c r="J65" s="122" t="str">
        <f aca="false">IF(Retail_Tb[[#This Row],[MKPL]] = "", "", IF(Matching_Tb[[#This Row],[Promo code]] = "", "N/A", Matching_Tb[[#This Row],[Promo code]]))</f>
        <v/>
      </c>
      <c r="K65" s="126" t="str">
        <f aca="false">IF(Matching_Tb[[#This Row],[Offer Details]] = "", "", Matching_Tb[[#This Row],[Offer Details]])</f>
        <v/>
      </c>
      <c r="L65" s="121" t="str">
        <f aca="false">IF(Matching_Tb[[#This Row],[TT Link]] = "", "", IF(Matching_Tb[[#This Row],[Can be matched ? ]] = "No", "", HYPERLINK(Matching_Tb[[#This Row],[TT Link]], "Link")))</f>
        <v/>
      </c>
      <c r="M65" s="128" t="str">
        <f aca="false">IF(Matching_Tb[[#This Row],[Comment]] = "", "", VLOOKUP(Matching_Tb[[#This Row],[Comment]],Disclaimers!$A$3:$C$100, 3, 0))</f>
        <v/>
      </c>
    </row>
    <row r="66" customFormat="false" ht="14.25" hidden="false" customHeight="false" outlineLevel="0" collapsed="false">
      <c r="A66" s="124"/>
      <c r="B66" s="125" t="str">
        <f aca="false">IF('Matching Sheet'!B66 = "", "", 'Matching Sheet'!B66)</f>
        <v/>
      </c>
      <c r="C66" s="126" t="str">
        <f aca="false">IF('Matching Sheet'!C66 = "", "", 'Matching Sheet'!C66)</f>
        <v/>
      </c>
      <c r="D66" s="126" t="str">
        <f aca="false">IF('Matching Sheet'!D66 = "", "", 'Matching Sheet'!D66)</f>
        <v/>
      </c>
      <c r="E66" s="126" t="str">
        <f aca="false">IF('Matching Sheet'!E66 = "", "", 'Matching Sheet'!E66)</f>
        <v/>
      </c>
      <c r="F66" s="126" t="str">
        <f aca="false">IF(Matching_Tb[[#This Row],[CMT  Set-up]] = "", "", Matching_Tb[[#This Row],[CMT  Set-up]])</f>
        <v/>
      </c>
      <c r="G66" s="120" t="str">
        <f aca="false">IF(Matching_Tb[[#This Row],[Start date]] = "", "", Matching_Tb[[#This Row],[Start date]])</f>
        <v/>
      </c>
      <c r="H66" s="120" t="str">
        <f aca="false">IF(Matching_Tb[[#This Row],[End date]] = "", "", Matching_Tb[[#This Row],[End date]])</f>
        <v/>
      </c>
      <c r="I66" s="127" t="str">
        <f aca="false">IF(Matching_Tb[[#This Row],[Competitor URL]] = "", "", HYPERLINK(Matching_Tb[[#This Row],[Competitor URL]], "Link"))</f>
        <v/>
      </c>
      <c r="J66" s="122" t="str">
        <f aca="false">IF(Retail_Tb[[#This Row],[MKPL]] = "", "", IF(Matching_Tb[[#This Row],[Promo code]] = "", "N/A", Matching_Tb[[#This Row],[Promo code]]))</f>
        <v/>
      </c>
      <c r="K66" s="126" t="str">
        <f aca="false">IF(Matching_Tb[[#This Row],[Offer Details]] = "", "", Matching_Tb[[#This Row],[Offer Details]])</f>
        <v/>
      </c>
      <c r="L66" s="121" t="str">
        <f aca="false">IF(Matching_Tb[[#This Row],[TT Link]] = "", "", IF(Matching_Tb[[#This Row],[Can be matched ? ]] = "No", "", HYPERLINK(Matching_Tb[[#This Row],[TT Link]], "Link")))</f>
        <v/>
      </c>
      <c r="M66" s="128" t="str">
        <f aca="false">IF(Matching_Tb[[#This Row],[Comment]] = "", "", VLOOKUP(Matching_Tb[[#This Row],[Comment]],Disclaimers!$A$3:$C$100, 3, 0))</f>
        <v/>
      </c>
    </row>
    <row r="67" customFormat="false" ht="14.25" hidden="false" customHeight="false" outlineLevel="0" collapsed="false">
      <c r="A67" s="124"/>
      <c r="B67" s="125" t="str">
        <f aca="false">IF('Matching Sheet'!B67 = "", "", 'Matching Sheet'!B67)</f>
        <v/>
      </c>
      <c r="C67" s="126" t="str">
        <f aca="false">IF('Matching Sheet'!C67 = "", "", 'Matching Sheet'!C67)</f>
        <v/>
      </c>
      <c r="D67" s="126" t="str">
        <f aca="false">IF('Matching Sheet'!D67 = "", "", 'Matching Sheet'!D67)</f>
        <v/>
      </c>
      <c r="E67" s="126" t="str">
        <f aca="false">IF('Matching Sheet'!E67 = "", "", 'Matching Sheet'!E67)</f>
        <v/>
      </c>
      <c r="F67" s="126" t="str">
        <f aca="false">IF(Matching_Tb[[#This Row],[CMT  Set-up]] = "", "", Matching_Tb[[#This Row],[CMT  Set-up]])</f>
        <v/>
      </c>
      <c r="G67" s="120" t="str">
        <f aca="false">IF(Matching_Tb[[#This Row],[Start date]] = "", "", Matching_Tb[[#This Row],[Start date]])</f>
        <v/>
      </c>
      <c r="H67" s="120" t="str">
        <f aca="false">IF(Matching_Tb[[#This Row],[End date]] = "", "", Matching_Tb[[#This Row],[End date]])</f>
        <v/>
      </c>
      <c r="I67" s="127" t="str">
        <f aca="false">IF(Matching_Tb[[#This Row],[Competitor URL]] = "", "", HYPERLINK(Matching_Tb[[#This Row],[Competitor URL]], "Link"))</f>
        <v/>
      </c>
      <c r="J67" s="122" t="str">
        <f aca="false">IF(Retail_Tb[[#This Row],[MKPL]] = "", "", IF(Matching_Tb[[#This Row],[Promo code]] = "", "N/A", Matching_Tb[[#This Row],[Promo code]]))</f>
        <v/>
      </c>
      <c r="K67" s="126" t="str">
        <f aca="false">IF(Matching_Tb[[#This Row],[Offer Details]] = "", "", Matching_Tb[[#This Row],[Offer Details]])</f>
        <v/>
      </c>
      <c r="L67" s="121" t="str">
        <f aca="false">IF(Matching_Tb[[#This Row],[TT Link]] = "", "", IF(Matching_Tb[[#This Row],[Can be matched ? ]] = "No", "", HYPERLINK(Matching_Tb[[#This Row],[TT Link]], "Link")))</f>
        <v/>
      </c>
      <c r="M67" s="128" t="str">
        <f aca="false">IF(Matching_Tb[[#This Row],[Comment]] = "", "", VLOOKUP(Matching_Tb[[#This Row],[Comment]],Disclaimers!$A$3:$C$100, 3, 0))</f>
        <v/>
      </c>
    </row>
    <row r="68" customFormat="false" ht="14.25" hidden="false" customHeight="false" outlineLevel="0" collapsed="false">
      <c r="A68" s="124"/>
      <c r="B68" s="125" t="str">
        <f aca="false">IF('Matching Sheet'!B68 = "", "", 'Matching Sheet'!B68)</f>
        <v/>
      </c>
      <c r="C68" s="126" t="str">
        <f aca="false">IF('Matching Sheet'!C68 = "", "", 'Matching Sheet'!C68)</f>
        <v/>
      </c>
      <c r="D68" s="126" t="str">
        <f aca="false">IF('Matching Sheet'!D68 = "", "", 'Matching Sheet'!D68)</f>
        <v/>
      </c>
      <c r="E68" s="126" t="str">
        <f aca="false">IF('Matching Sheet'!E68 = "", "", 'Matching Sheet'!E68)</f>
        <v/>
      </c>
      <c r="F68" s="126" t="str">
        <f aca="false">IF(Matching_Tb[[#This Row],[CMT  Set-up]] = "", "", Matching_Tb[[#This Row],[CMT  Set-up]])</f>
        <v/>
      </c>
      <c r="G68" s="120" t="str">
        <f aca="false">IF(Matching_Tb[[#This Row],[Start date]] = "", "", Matching_Tb[[#This Row],[Start date]])</f>
        <v/>
      </c>
      <c r="H68" s="120" t="str">
        <f aca="false">IF(Matching_Tb[[#This Row],[End date]] = "", "", Matching_Tb[[#This Row],[End date]])</f>
        <v/>
      </c>
      <c r="I68" s="127" t="str">
        <f aca="false">IF(Matching_Tb[[#This Row],[Competitor URL]] = "", "", HYPERLINK(Matching_Tb[[#This Row],[Competitor URL]], "Link"))</f>
        <v/>
      </c>
      <c r="J68" s="122" t="str">
        <f aca="false">IF(Retail_Tb[[#This Row],[MKPL]] = "", "", IF(Matching_Tb[[#This Row],[Promo code]] = "", "N/A", Matching_Tb[[#This Row],[Promo code]]))</f>
        <v/>
      </c>
      <c r="K68" s="126" t="str">
        <f aca="false">IF(Matching_Tb[[#This Row],[Offer Details]] = "", "", Matching_Tb[[#This Row],[Offer Details]])</f>
        <v/>
      </c>
      <c r="L68" s="121" t="str">
        <f aca="false">IF(Matching_Tb[[#This Row],[TT Link]] = "", "", IF(Matching_Tb[[#This Row],[Can be matched ? ]] = "No", "", HYPERLINK(Matching_Tb[[#This Row],[TT Link]], "Link")))</f>
        <v/>
      </c>
      <c r="M68" s="128" t="str">
        <f aca="false">IF(Matching_Tb[[#This Row],[Comment]] = "", "", VLOOKUP(Matching_Tb[[#This Row],[Comment]],Disclaimers!$A$3:$C$100, 3, 0))</f>
        <v/>
      </c>
    </row>
    <row r="69" customFormat="false" ht="14.25" hidden="false" customHeight="false" outlineLevel="0" collapsed="false">
      <c r="A69" s="124"/>
      <c r="B69" s="125" t="str">
        <f aca="false">IF('Matching Sheet'!B69 = "", "", 'Matching Sheet'!B69)</f>
        <v/>
      </c>
      <c r="C69" s="126" t="str">
        <f aca="false">IF('Matching Sheet'!C69 = "", "", 'Matching Sheet'!C69)</f>
        <v/>
      </c>
      <c r="D69" s="126" t="str">
        <f aca="false">IF('Matching Sheet'!D69 = "", "", 'Matching Sheet'!D69)</f>
        <v/>
      </c>
      <c r="E69" s="126" t="str">
        <f aca="false">IF('Matching Sheet'!E69 = "", "", 'Matching Sheet'!E69)</f>
        <v/>
      </c>
      <c r="F69" s="126" t="str">
        <f aca="false">IF(Matching_Tb[[#This Row],[CMT  Set-up]] = "", "", Matching_Tb[[#This Row],[CMT  Set-up]])</f>
        <v/>
      </c>
      <c r="G69" s="120" t="str">
        <f aca="false">IF(Matching_Tb[[#This Row],[Start date]] = "", "", Matching_Tb[[#This Row],[Start date]])</f>
        <v/>
      </c>
      <c r="H69" s="120" t="str">
        <f aca="false">IF(Matching_Tb[[#This Row],[End date]] = "", "", Matching_Tb[[#This Row],[End date]])</f>
        <v/>
      </c>
      <c r="I69" s="127" t="str">
        <f aca="false">IF(Matching_Tb[[#This Row],[Competitor URL]] = "", "", HYPERLINK(Matching_Tb[[#This Row],[Competitor URL]], "Link"))</f>
        <v/>
      </c>
      <c r="J69" s="122" t="str">
        <f aca="false">IF(Retail_Tb[[#This Row],[MKPL]] = "", "", IF(Matching_Tb[[#This Row],[Promo code]] = "", "N/A", Matching_Tb[[#This Row],[Promo code]]))</f>
        <v/>
      </c>
      <c r="K69" s="126" t="str">
        <f aca="false">IF(Matching_Tb[[#This Row],[Offer Details]] = "", "", Matching_Tb[[#This Row],[Offer Details]])</f>
        <v/>
      </c>
      <c r="L69" s="121" t="str">
        <f aca="false">IF(Matching_Tb[[#This Row],[TT Link]] = "", "", IF(Matching_Tb[[#This Row],[Can be matched ? ]] = "No", "", HYPERLINK(Matching_Tb[[#This Row],[TT Link]], "Link")))</f>
        <v/>
      </c>
      <c r="M69" s="128" t="str">
        <f aca="false">IF(Matching_Tb[[#This Row],[Comment]] = "", "", VLOOKUP(Matching_Tb[[#This Row],[Comment]],Disclaimers!$A$3:$C$100, 3, 0))</f>
        <v/>
      </c>
    </row>
    <row r="70" customFormat="false" ht="14.25" hidden="false" customHeight="false" outlineLevel="0" collapsed="false">
      <c r="A70" s="124"/>
      <c r="B70" s="125" t="str">
        <f aca="false">IF('Matching Sheet'!B70 = "", "", 'Matching Sheet'!B70)</f>
        <v/>
      </c>
      <c r="C70" s="126" t="str">
        <f aca="false">IF('Matching Sheet'!C70 = "", "", 'Matching Sheet'!C70)</f>
        <v/>
      </c>
      <c r="D70" s="126" t="str">
        <f aca="false">IF('Matching Sheet'!D70 = "", "", 'Matching Sheet'!D70)</f>
        <v/>
      </c>
      <c r="E70" s="126" t="str">
        <f aca="false">IF('Matching Sheet'!E70 = "", "", 'Matching Sheet'!E70)</f>
        <v/>
      </c>
      <c r="F70" s="126" t="str">
        <f aca="false">IF(Matching_Tb[[#This Row],[CMT  Set-up]] = "", "", Matching_Tb[[#This Row],[CMT  Set-up]])</f>
        <v/>
      </c>
      <c r="G70" s="120" t="str">
        <f aca="false">IF(Matching_Tb[[#This Row],[Start date]] = "", "", Matching_Tb[[#This Row],[Start date]])</f>
        <v/>
      </c>
      <c r="H70" s="120" t="str">
        <f aca="false">IF(Matching_Tb[[#This Row],[End date]] = "", "", Matching_Tb[[#This Row],[End date]])</f>
        <v/>
      </c>
      <c r="I70" s="127" t="str">
        <f aca="false">IF(Matching_Tb[[#This Row],[Competitor URL]] = "", "", HYPERLINK(Matching_Tb[[#This Row],[Competitor URL]], "Link"))</f>
        <v/>
      </c>
      <c r="J70" s="122" t="str">
        <f aca="false">IF(Retail_Tb[[#This Row],[MKPL]] = "", "", IF(Matching_Tb[[#This Row],[Promo code]] = "", "N/A", Matching_Tb[[#This Row],[Promo code]]))</f>
        <v/>
      </c>
      <c r="K70" s="126" t="str">
        <f aca="false">IF(Matching_Tb[[#This Row],[Offer Details]] = "", "", Matching_Tb[[#This Row],[Offer Details]])</f>
        <v/>
      </c>
      <c r="L70" s="121" t="str">
        <f aca="false">IF(Matching_Tb[[#This Row],[TT Link]] = "", "", IF(Matching_Tb[[#This Row],[Can be matched ? ]] = "No", "", HYPERLINK(Matching_Tb[[#This Row],[TT Link]], "Link")))</f>
        <v/>
      </c>
      <c r="M70" s="128" t="str">
        <f aca="false">IF(Matching_Tb[[#This Row],[Comment]] = "", "", VLOOKUP(Matching_Tb[[#This Row],[Comment]],Disclaimers!$A$3:$C$100, 3, 0))</f>
        <v/>
      </c>
    </row>
    <row r="71" customFormat="false" ht="14.25" hidden="false" customHeight="false" outlineLevel="0" collapsed="false">
      <c r="A71" s="124"/>
      <c r="B71" s="125" t="str">
        <f aca="false">IF('Matching Sheet'!B71 = "", "", 'Matching Sheet'!B71)</f>
        <v/>
      </c>
      <c r="C71" s="126" t="str">
        <f aca="false">IF('Matching Sheet'!C71 = "", "", 'Matching Sheet'!C71)</f>
        <v/>
      </c>
      <c r="D71" s="126" t="str">
        <f aca="false">IF('Matching Sheet'!D71 = "", "", 'Matching Sheet'!D71)</f>
        <v/>
      </c>
      <c r="E71" s="126" t="str">
        <f aca="false">IF('Matching Sheet'!E71 = "", "", 'Matching Sheet'!E71)</f>
        <v/>
      </c>
      <c r="F71" s="126" t="str">
        <f aca="false">IF(Matching_Tb[[#This Row],[CMT  Set-up]] = "", "", Matching_Tb[[#This Row],[CMT  Set-up]])</f>
        <v/>
      </c>
      <c r="G71" s="120" t="str">
        <f aca="false">IF(Matching_Tb[[#This Row],[Start date]] = "", "", Matching_Tb[[#This Row],[Start date]])</f>
        <v/>
      </c>
      <c r="H71" s="120" t="str">
        <f aca="false">IF(Matching_Tb[[#This Row],[End date]] = "", "", Matching_Tb[[#This Row],[End date]])</f>
        <v/>
      </c>
      <c r="I71" s="127" t="str">
        <f aca="false">IF(Matching_Tb[[#This Row],[Competitor URL]] = "", "", HYPERLINK(Matching_Tb[[#This Row],[Competitor URL]], "Link"))</f>
        <v/>
      </c>
      <c r="J71" s="122" t="str">
        <f aca="false">IF(Retail_Tb[[#This Row],[MKPL]] = "", "", IF(Matching_Tb[[#This Row],[Promo code]] = "", "N/A", Matching_Tb[[#This Row],[Promo code]]))</f>
        <v/>
      </c>
      <c r="K71" s="126" t="str">
        <f aca="false">IF(Matching_Tb[[#This Row],[Offer Details]] = "", "", Matching_Tb[[#This Row],[Offer Details]])</f>
        <v/>
      </c>
      <c r="L71" s="121" t="str">
        <f aca="false">IF(Matching_Tb[[#This Row],[TT Link]] = "", "", IF(Matching_Tb[[#This Row],[Can be matched ? ]] = "No", "", HYPERLINK(Matching_Tb[[#This Row],[TT Link]], "Link")))</f>
        <v/>
      </c>
      <c r="M71" s="128" t="str">
        <f aca="false">IF(Matching_Tb[[#This Row],[Comment]] = "", "", VLOOKUP(Matching_Tb[[#This Row],[Comment]],Disclaimers!$A$3:$C$100, 3, 0))</f>
        <v/>
      </c>
    </row>
    <row r="72" customFormat="false" ht="14.25" hidden="false" customHeight="false" outlineLevel="0" collapsed="false">
      <c r="A72" s="124"/>
      <c r="B72" s="125" t="str">
        <f aca="false">IF('Matching Sheet'!B72 = "", "", 'Matching Sheet'!B72)</f>
        <v/>
      </c>
      <c r="C72" s="126" t="str">
        <f aca="false">IF('Matching Sheet'!C72 = "", "", 'Matching Sheet'!C72)</f>
        <v/>
      </c>
      <c r="D72" s="126" t="str">
        <f aca="false">IF('Matching Sheet'!D72 = "", "", 'Matching Sheet'!D72)</f>
        <v/>
      </c>
      <c r="E72" s="126" t="str">
        <f aca="false">IF('Matching Sheet'!E72 = "", "", 'Matching Sheet'!E72)</f>
        <v/>
      </c>
      <c r="F72" s="126" t="str">
        <f aca="false">IF(Matching_Tb[[#This Row],[CMT  Set-up]] = "", "", Matching_Tb[[#This Row],[CMT  Set-up]])</f>
        <v/>
      </c>
      <c r="G72" s="120" t="str">
        <f aca="false">IF(Matching_Tb[[#This Row],[Start date]] = "", "", Matching_Tb[[#This Row],[Start date]])</f>
        <v/>
      </c>
      <c r="H72" s="120" t="str">
        <f aca="false">IF(Matching_Tb[[#This Row],[End date]] = "", "", Matching_Tb[[#This Row],[End date]])</f>
        <v/>
      </c>
      <c r="I72" s="127" t="str">
        <f aca="false">IF(Matching_Tb[[#This Row],[Competitor URL]] = "", "", HYPERLINK(Matching_Tb[[#This Row],[Competitor URL]], "Link"))</f>
        <v/>
      </c>
      <c r="J72" s="122" t="str">
        <f aca="false">IF(Retail_Tb[[#This Row],[MKPL]] = "", "", IF(Matching_Tb[[#This Row],[Promo code]] = "", "N/A", Matching_Tb[[#This Row],[Promo code]]))</f>
        <v/>
      </c>
      <c r="K72" s="126" t="str">
        <f aca="false">IF(Matching_Tb[[#This Row],[Offer Details]] = "", "", Matching_Tb[[#This Row],[Offer Details]])</f>
        <v/>
      </c>
      <c r="L72" s="121" t="str">
        <f aca="false">IF(Matching_Tb[[#This Row],[TT Link]] = "", "", IF(Matching_Tb[[#This Row],[Can be matched ? ]] = "No", "", HYPERLINK(Matching_Tb[[#This Row],[TT Link]], "Link")))</f>
        <v/>
      </c>
      <c r="M72" s="128" t="str">
        <f aca="false">IF(Matching_Tb[[#This Row],[Comment]] = "", "", VLOOKUP(Matching_Tb[[#This Row],[Comment]],Disclaimers!$A$3:$C$100, 3, 0))</f>
        <v/>
      </c>
    </row>
    <row r="73" customFormat="false" ht="14.25" hidden="false" customHeight="false" outlineLevel="0" collapsed="false">
      <c r="A73" s="124"/>
      <c r="B73" s="125" t="str">
        <f aca="false">IF('Matching Sheet'!B73 = "", "", 'Matching Sheet'!B73)</f>
        <v/>
      </c>
      <c r="C73" s="126" t="str">
        <f aca="false">IF('Matching Sheet'!C73 = "", "", 'Matching Sheet'!C73)</f>
        <v/>
      </c>
      <c r="D73" s="126" t="str">
        <f aca="false">IF('Matching Sheet'!D73 = "", "", 'Matching Sheet'!D73)</f>
        <v/>
      </c>
      <c r="E73" s="126" t="str">
        <f aca="false">IF('Matching Sheet'!E73 = "", "", 'Matching Sheet'!E73)</f>
        <v/>
      </c>
      <c r="F73" s="126" t="str">
        <f aca="false">IF(Matching_Tb[[#This Row],[CMT  Set-up]] = "", "", Matching_Tb[[#This Row],[CMT  Set-up]])</f>
        <v/>
      </c>
      <c r="G73" s="120" t="str">
        <f aca="false">IF(Matching_Tb[[#This Row],[Start date]] = "", "", Matching_Tb[[#This Row],[Start date]])</f>
        <v/>
      </c>
      <c r="H73" s="120" t="str">
        <f aca="false">IF(Matching_Tb[[#This Row],[End date]] = "", "", Matching_Tb[[#This Row],[End date]])</f>
        <v/>
      </c>
      <c r="I73" s="127" t="str">
        <f aca="false">IF(Matching_Tb[[#This Row],[Competitor URL]] = "", "", HYPERLINK(Matching_Tb[[#This Row],[Competitor URL]], "Link"))</f>
        <v/>
      </c>
      <c r="J73" s="122" t="str">
        <f aca="false">IF(Retail_Tb[[#This Row],[MKPL]] = "", "", IF(Matching_Tb[[#This Row],[Promo code]] = "", "N/A", Matching_Tb[[#This Row],[Promo code]]))</f>
        <v/>
      </c>
      <c r="K73" s="126" t="str">
        <f aca="false">IF(Matching_Tb[[#This Row],[Offer Details]] = "", "", Matching_Tb[[#This Row],[Offer Details]])</f>
        <v/>
      </c>
      <c r="L73" s="121" t="str">
        <f aca="false">IF(Matching_Tb[[#This Row],[TT Link]] = "", "", IF(Matching_Tb[[#This Row],[Can be matched ? ]] = "No", "", HYPERLINK(Matching_Tb[[#This Row],[TT Link]], "Link")))</f>
        <v/>
      </c>
      <c r="M73" s="128" t="str">
        <f aca="false">IF(Matching_Tb[[#This Row],[Comment]] = "", "", VLOOKUP(Matching_Tb[[#This Row],[Comment]],Disclaimers!$A$3:$C$100, 3, 0))</f>
        <v/>
      </c>
    </row>
    <row r="74" customFormat="false" ht="14.25" hidden="false" customHeight="false" outlineLevel="0" collapsed="false">
      <c r="A74" s="124"/>
      <c r="B74" s="125" t="str">
        <f aca="false">IF('Matching Sheet'!B74 = "", "", 'Matching Sheet'!B74)</f>
        <v/>
      </c>
      <c r="C74" s="126" t="str">
        <f aca="false">IF('Matching Sheet'!C74 = "", "", 'Matching Sheet'!C74)</f>
        <v/>
      </c>
      <c r="D74" s="126" t="str">
        <f aca="false">IF('Matching Sheet'!D74 = "", "", 'Matching Sheet'!D74)</f>
        <v/>
      </c>
      <c r="E74" s="126" t="str">
        <f aca="false">IF('Matching Sheet'!E74 = "", "", 'Matching Sheet'!E74)</f>
        <v/>
      </c>
      <c r="F74" s="126" t="str">
        <f aca="false">IF(Matching_Tb[[#This Row],[CMT  Set-up]] = "", "", Matching_Tb[[#This Row],[CMT  Set-up]])</f>
        <v/>
      </c>
      <c r="G74" s="120" t="str">
        <f aca="false">IF(Matching_Tb[[#This Row],[Start date]] = "", "", Matching_Tb[[#This Row],[Start date]])</f>
        <v/>
      </c>
      <c r="H74" s="120" t="str">
        <f aca="false">IF(Matching_Tb[[#This Row],[End date]] = "", "", Matching_Tb[[#This Row],[End date]])</f>
        <v/>
      </c>
      <c r="I74" s="127" t="str">
        <f aca="false">IF(Matching_Tb[[#This Row],[Competitor URL]] = "", "", HYPERLINK(Matching_Tb[[#This Row],[Competitor URL]], "Link"))</f>
        <v/>
      </c>
      <c r="J74" s="122" t="str">
        <f aca="false">IF(Retail_Tb[[#This Row],[MKPL]] = "", "", IF(Matching_Tb[[#This Row],[Promo code]] = "", "N/A", Matching_Tb[[#This Row],[Promo code]]))</f>
        <v/>
      </c>
      <c r="K74" s="126" t="str">
        <f aca="false">IF(Matching_Tb[[#This Row],[Offer Details]] = "", "", Matching_Tb[[#This Row],[Offer Details]])</f>
        <v/>
      </c>
      <c r="L74" s="121" t="str">
        <f aca="false">IF(Matching_Tb[[#This Row],[TT Link]] = "", "", IF(Matching_Tb[[#This Row],[Can be matched ? ]] = "No", "", HYPERLINK(Matching_Tb[[#This Row],[TT Link]], "Link")))</f>
        <v/>
      </c>
      <c r="M74" s="128" t="str">
        <f aca="false">IF(Matching_Tb[[#This Row],[Comment]] = "", "", VLOOKUP(Matching_Tb[[#This Row],[Comment]],Disclaimers!$A$3:$C$100, 3, 0))</f>
        <v/>
      </c>
    </row>
    <row r="75" customFormat="false" ht="14.25" hidden="false" customHeight="false" outlineLevel="0" collapsed="false">
      <c r="A75" s="124"/>
      <c r="B75" s="125" t="str">
        <f aca="false">IF('Matching Sheet'!B75 = "", "", 'Matching Sheet'!B75)</f>
        <v/>
      </c>
      <c r="C75" s="126" t="str">
        <f aca="false">IF('Matching Sheet'!C75 = "", "", 'Matching Sheet'!C75)</f>
        <v/>
      </c>
      <c r="D75" s="126" t="str">
        <f aca="false">IF('Matching Sheet'!D75 = "", "", 'Matching Sheet'!D75)</f>
        <v/>
      </c>
      <c r="E75" s="126" t="str">
        <f aca="false">IF('Matching Sheet'!E75 = "", "", 'Matching Sheet'!E75)</f>
        <v/>
      </c>
      <c r="F75" s="126" t="str">
        <f aca="false">IF(Matching_Tb[[#This Row],[CMT  Set-up]] = "", "", Matching_Tb[[#This Row],[CMT  Set-up]])</f>
        <v/>
      </c>
      <c r="G75" s="120" t="str">
        <f aca="false">IF(Matching_Tb[[#This Row],[Start date]] = "", "", Matching_Tb[[#This Row],[Start date]])</f>
        <v/>
      </c>
      <c r="H75" s="120" t="str">
        <f aca="false">IF(Matching_Tb[[#This Row],[End date]] = "", "", Matching_Tb[[#This Row],[End date]])</f>
        <v/>
      </c>
      <c r="I75" s="127" t="str">
        <f aca="false">IF(Matching_Tb[[#This Row],[Competitor URL]] = "", "", HYPERLINK(Matching_Tb[[#This Row],[Competitor URL]], "Link"))</f>
        <v/>
      </c>
      <c r="J75" s="122" t="str">
        <f aca="false">IF(Retail_Tb[[#This Row],[MKPL]] = "", "", IF(Matching_Tb[[#This Row],[Promo code]] = "", "N/A", Matching_Tb[[#This Row],[Promo code]]))</f>
        <v/>
      </c>
      <c r="K75" s="126" t="str">
        <f aca="false">IF(Matching_Tb[[#This Row],[Offer Details]] = "", "", Matching_Tb[[#This Row],[Offer Details]])</f>
        <v/>
      </c>
      <c r="L75" s="121" t="str">
        <f aca="false">IF(Matching_Tb[[#This Row],[TT Link]] = "", "", IF(Matching_Tb[[#This Row],[Can be matched ? ]] = "No", "", HYPERLINK(Matching_Tb[[#This Row],[TT Link]], "Link")))</f>
        <v/>
      </c>
      <c r="M75" s="128" t="str">
        <f aca="false">IF(Matching_Tb[[#This Row],[Comment]] = "", "", VLOOKUP(Matching_Tb[[#This Row],[Comment]],Disclaimers!$A$3:$C$100, 3, 0))</f>
        <v/>
      </c>
    </row>
    <row r="76" customFormat="false" ht="14.25" hidden="false" customHeight="false" outlineLevel="0" collapsed="false">
      <c r="A76" s="124"/>
      <c r="B76" s="125" t="str">
        <f aca="false">IF('Matching Sheet'!B76 = "", "", 'Matching Sheet'!B76)</f>
        <v/>
      </c>
      <c r="C76" s="126" t="str">
        <f aca="false">IF('Matching Sheet'!C76 = "", "", 'Matching Sheet'!C76)</f>
        <v/>
      </c>
      <c r="D76" s="126" t="str">
        <f aca="false">IF('Matching Sheet'!D76 = "", "", 'Matching Sheet'!D76)</f>
        <v/>
      </c>
      <c r="E76" s="126" t="str">
        <f aca="false">IF('Matching Sheet'!E76 = "", "", 'Matching Sheet'!E76)</f>
        <v/>
      </c>
      <c r="F76" s="126" t="str">
        <f aca="false">IF(Matching_Tb[[#This Row],[CMT  Set-up]] = "", "", Matching_Tb[[#This Row],[CMT  Set-up]])</f>
        <v/>
      </c>
      <c r="G76" s="120" t="str">
        <f aca="false">IF(Matching_Tb[[#This Row],[Start date]] = "", "", Matching_Tb[[#This Row],[Start date]])</f>
        <v/>
      </c>
      <c r="H76" s="120" t="str">
        <f aca="false">IF(Matching_Tb[[#This Row],[End date]] = "", "", Matching_Tb[[#This Row],[End date]])</f>
        <v/>
      </c>
      <c r="I76" s="127" t="str">
        <f aca="false">IF(Matching_Tb[[#This Row],[Competitor URL]] = "", "", HYPERLINK(Matching_Tb[[#This Row],[Competitor URL]], "Link"))</f>
        <v/>
      </c>
      <c r="J76" s="122" t="str">
        <f aca="false">IF(Retail_Tb[[#This Row],[MKPL]] = "", "", IF(Matching_Tb[[#This Row],[Promo code]] = "", "N/A", Matching_Tb[[#This Row],[Promo code]]))</f>
        <v/>
      </c>
      <c r="K76" s="126" t="str">
        <f aca="false">IF(Matching_Tb[[#This Row],[Offer Details]] = "", "", Matching_Tb[[#This Row],[Offer Details]])</f>
        <v/>
      </c>
      <c r="L76" s="121" t="str">
        <f aca="false">IF(Matching_Tb[[#This Row],[TT Link]] = "", "", IF(Matching_Tb[[#This Row],[Can be matched ? ]] = "No", "", HYPERLINK(Matching_Tb[[#This Row],[TT Link]], "Link")))</f>
        <v/>
      </c>
      <c r="M76" s="128" t="str">
        <f aca="false">IF(Matching_Tb[[#This Row],[Comment]] = "", "", VLOOKUP(Matching_Tb[[#This Row],[Comment]],Disclaimers!$A$3:$C$100, 3, 0))</f>
        <v/>
      </c>
    </row>
    <row r="77" customFormat="false" ht="14.25" hidden="false" customHeight="false" outlineLevel="0" collapsed="false">
      <c r="A77" s="124"/>
      <c r="B77" s="125" t="str">
        <f aca="false">IF('Matching Sheet'!B77 = "", "", 'Matching Sheet'!B77)</f>
        <v/>
      </c>
      <c r="C77" s="126" t="str">
        <f aca="false">IF('Matching Sheet'!C77 = "", "", 'Matching Sheet'!C77)</f>
        <v/>
      </c>
      <c r="D77" s="126" t="str">
        <f aca="false">IF('Matching Sheet'!D77 = "", "", 'Matching Sheet'!D77)</f>
        <v/>
      </c>
      <c r="E77" s="126" t="str">
        <f aca="false">IF('Matching Sheet'!E77 = "", "", 'Matching Sheet'!E77)</f>
        <v/>
      </c>
      <c r="F77" s="126" t="str">
        <f aca="false">IF(Matching_Tb[[#This Row],[CMT  Set-up]] = "", "", Matching_Tb[[#This Row],[CMT  Set-up]])</f>
        <v/>
      </c>
      <c r="G77" s="120" t="str">
        <f aca="false">IF(Matching_Tb[[#This Row],[Start date]] = "", "", Matching_Tb[[#This Row],[Start date]])</f>
        <v/>
      </c>
      <c r="H77" s="120" t="str">
        <f aca="false">IF(Matching_Tb[[#This Row],[End date]] = "", "", Matching_Tb[[#This Row],[End date]])</f>
        <v/>
      </c>
      <c r="I77" s="127" t="str">
        <f aca="false">IF(Matching_Tb[[#This Row],[Competitor URL]] = "", "", HYPERLINK(Matching_Tb[[#This Row],[Competitor URL]], "Link"))</f>
        <v/>
      </c>
      <c r="J77" s="122" t="str">
        <f aca="false">IF(Retail_Tb[[#This Row],[MKPL]] = "", "", IF(Matching_Tb[[#This Row],[Promo code]] = "", "N/A", Matching_Tb[[#This Row],[Promo code]]))</f>
        <v/>
      </c>
      <c r="K77" s="126" t="str">
        <f aca="false">IF(Matching_Tb[[#This Row],[Offer Details]] = "", "", Matching_Tb[[#This Row],[Offer Details]])</f>
        <v/>
      </c>
      <c r="L77" s="121" t="str">
        <f aca="false">IF(Matching_Tb[[#This Row],[TT Link]] = "", "", IF(Matching_Tb[[#This Row],[Can be matched ? ]] = "No", "", HYPERLINK(Matching_Tb[[#This Row],[TT Link]], "Link")))</f>
        <v/>
      </c>
      <c r="M77" s="128" t="str">
        <f aca="false">IF(Matching_Tb[[#This Row],[Comment]] = "", "", VLOOKUP(Matching_Tb[[#This Row],[Comment]],Disclaimers!$A$3:$C$100, 3, 0))</f>
        <v/>
      </c>
    </row>
    <row r="78" customFormat="false" ht="14.25" hidden="false" customHeight="false" outlineLevel="0" collapsed="false">
      <c r="A78" s="124"/>
      <c r="B78" s="125" t="str">
        <f aca="false">IF('Matching Sheet'!B78 = "", "", 'Matching Sheet'!B78)</f>
        <v/>
      </c>
      <c r="C78" s="126" t="str">
        <f aca="false">IF('Matching Sheet'!C78 = "", "", 'Matching Sheet'!C78)</f>
        <v/>
      </c>
      <c r="D78" s="126" t="str">
        <f aca="false">IF('Matching Sheet'!D78 = "", "", 'Matching Sheet'!D78)</f>
        <v/>
      </c>
      <c r="E78" s="126" t="str">
        <f aca="false">IF('Matching Sheet'!E78 = "", "", 'Matching Sheet'!E78)</f>
        <v/>
      </c>
      <c r="F78" s="126" t="str">
        <f aca="false">IF(Matching_Tb[[#This Row],[CMT  Set-up]] = "", "", Matching_Tb[[#This Row],[CMT  Set-up]])</f>
        <v/>
      </c>
      <c r="G78" s="120" t="str">
        <f aca="false">IF(Matching_Tb[[#This Row],[Start date]] = "", "", Matching_Tb[[#This Row],[Start date]])</f>
        <v/>
      </c>
      <c r="H78" s="120" t="str">
        <f aca="false">IF(Matching_Tb[[#This Row],[End date]] = "", "", Matching_Tb[[#This Row],[End date]])</f>
        <v/>
      </c>
      <c r="I78" s="127" t="str">
        <f aca="false">IF(Matching_Tb[[#This Row],[Competitor URL]] = "", "", HYPERLINK(Matching_Tb[[#This Row],[Competitor URL]], "Link"))</f>
        <v/>
      </c>
      <c r="J78" s="122" t="str">
        <f aca="false">IF(Retail_Tb[[#This Row],[MKPL]] = "", "", IF(Matching_Tb[[#This Row],[Promo code]] = "", "N/A", Matching_Tb[[#This Row],[Promo code]]))</f>
        <v/>
      </c>
      <c r="K78" s="126" t="str">
        <f aca="false">IF(Matching_Tb[[#This Row],[Offer Details]] = "", "", Matching_Tb[[#This Row],[Offer Details]])</f>
        <v/>
      </c>
      <c r="L78" s="121" t="str">
        <f aca="false">IF(Matching_Tb[[#This Row],[TT Link]] = "", "", IF(Matching_Tb[[#This Row],[Can be matched ? ]] = "No", "", HYPERLINK(Matching_Tb[[#This Row],[TT Link]], "Link")))</f>
        <v/>
      </c>
      <c r="M78" s="128" t="str">
        <f aca="false">IF(Matching_Tb[[#This Row],[Comment]] = "", "", VLOOKUP(Matching_Tb[[#This Row],[Comment]],Disclaimers!$A$3:$C$100, 3, 0))</f>
        <v/>
      </c>
    </row>
    <row r="79" customFormat="false" ht="14.25" hidden="false" customHeight="false" outlineLevel="0" collapsed="false">
      <c r="A79" s="124"/>
      <c r="B79" s="125" t="str">
        <f aca="false">IF('Matching Sheet'!B79 = "", "", 'Matching Sheet'!B79)</f>
        <v/>
      </c>
      <c r="C79" s="126" t="str">
        <f aca="false">IF('Matching Sheet'!C79 = "", "", 'Matching Sheet'!C79)</f>
        <v/>
      </c>
      <c r="D79" s="126" t="str">
        <f aca="false">IF('Matching Sheet'!D79 = "", "", 'Matching Sheet'!D79)</f>
        <v/>
      </c>
      <c r="E79" s="126" t="str">
        <f aca="false">IF('Matching Sheet'!E79 = "", "", 'Matching Sheet'!E79)</f>
        <v/>
      </c>
      <c r="F79" s="126" t="str">
        <f aca="false">IF(Matching_Tb[[#This Row],[CMT  Set-up]] = "", "", Matching_Tb[[#This Row],[CMT  Set-up]])</f>
        <v/>
      </c>
      <c r="G79" s="120" t="str">
        <f aca="false">IF(Matching_Tb[[#This Row],[Start date]] = "", "", Matching_Tb[[#This Row],[Start date]])</f>
        <v/>
      </c>
      <c r="H79" s="120" t="str">
        <f aca="false">IF(Matching_Tb[[#This Row],[End date]] = "", "", Matching_Tb[[#This Row],[End date]])</f>
        <v/>
      </c>
      <c r="I79" s="127" t="str">
        <f aca="false">IF(Matching_Tb[[#This Row],[Competitor URL]] = "", "", HYPERLINK(Matching_Tb[[#This Row],[Competitor URL]], "Link"))</f>
        <v/>
      </c>
      <c r="J79" s="122" t="str">
        <f aca="false">IF(Retail_Tb[[#This Row],[MKPL]] = "", "", IF(Matching_Tb[[#This Row],[Promo code]] = "", "N/A", Matching_Tb[[#This Row],[Promo code]]))</f>
        <v/>
      </c>
      <c r="K79" s="126" t="str">
        <f aca="false">IF(Matching_Tb[[#This Row],[Offer Details]] = "", "", Matching_Tb[[#This Row],[Offer Details]])</f>
        <v/>
      </c>
      <c r="L79" s="121" t="str">
        <f aca="false">IF(Matching_Tb[[#This Row],[TT Link]] = "", "", IF(Matching_Tb[[#This Row],[Can be matched ? ]] = "No", "", HYPERLINK(Matching_Tb[[#This Row],[TT Link]], "Link")))</f>
        <v/>
      </c>
      <c r="M79" s="128" t="str">
        <f aca="false">IF(Matching_Tb[[#This Row],[Comment]] = "", "", VLOOKUP(Matching_Tb[[#This Row],[Comment]],Disclaimers!$A$3:$C$100, 3, 0))</f>
        <v/>
      </c>
    </row>
    <row r="80" customFormat="false" ht="14.25" hidden="false" customHeight="false" outlineLevel="0" collapsed="false">
      <c r="A80" s="124"/>
      <c r="B80" s="125" t="str">
        <f aca="false">IF('Matching Sheet'!B80 = "", "", 'Matching Sheet'!B80)</f>
        <v/>
      </c>
      <c r="C80" s="126" t="str">
        <f aca="false">IF('Matching Sheet'!C80 = "", "", 'Matching Sheet'!C80)</f>
        <v/>
      </c>
      <c r="D80" s="126" t="str">
        <f aca="false">IF('Matching Sheet'!D80 = "", "", 'Matching Sheet'!D80)</f>
        <v/>
      </c>
      <c r="E80" s="126" t="str">
        <f aca="false">IF('Matching Sheet'!E80 = "", "", 'Matching Sheet'!E80)</f>
        <v/>
      </c>
      <c r="F80" s="126" t="str">
        <f aca="false">IF(Matching_Tb[[#This Row],[CMT  Set-up]] = "", "", Matching_Tb[[#This Row],[CMT  Set-up]])</f>
        <v/>
      </c>
      <c r="G80" s="120" t="str">
        <f aca="false">IF(Matching_Tb[[#This Row],[Start date]] = "", "", Matching_Tb[[#This Row],[Start date]])</f>
        <v/>
      </c>
      <c r="H80" s="120" t="str">
        <f aca="false">IF(Matching_Tb[[#This Row],[End date]] = "", "", Matching_Tb[[#This Row],[End date]])</f>
        <v/>
      </c>
      <c r="I80" s="127" t="str">
        <f aca="false">IF(Matching_Tb[[#This Row],[Competitor URL]] = "", "", HYPERLINK(Matching_Tb[[#This Row],[Competitor URL]], "Link"))</f>
        <v/>
      </c>
      <c r="J80" s="122" t="str">
        <f aca="false">IF(Retail_Tb[[#This Row],[MKPL]] = "", "", IF(Matching_Tb[[#This Row],[Promo code]] = "", "N/A", Matching_Tb[[#This Row],[Promo code]]))</f>
        <v/>
      </c>
      <c r="K80" s="126" t="str">
        <f aca="false">IF(Matching_Tb[[#This Row],[Offer Details]] = "", "", Matching_Tb[[#This Row],[Offer Details]])</f>
        <v/>
      </c>
      <c r="L80" s="121" t="str">
        <f aca="false">IF(Matching_Tb[[#This Row],[TT Link]] = "", "", IF(Matching_Tb[[#This Row],[Can be matched ? ]] = "No", "", HYPERLINK(Matching_Tb[[#This Row],[TT Link]], "Link")))</f>
        <v/>
      </c>
      <c r="M80" s="128" t="str">
        <f aca="false">IF(Matching_Tb[[#This Row],[Comment]] = "", "", VLOOKUP(Matching_Tb[[#This Row],[Comment]],Disclaimers!$A$3:$C$100, 3, 0))</f>
        <v/>
      </c>
    </row>
    <row r="81" customFormat="false" ht="14.25" hidden="false" customHeight="false" outlineLevel="0" collapsed="false">
      <c r="A81" s="124"/>
      <c r="B81" s="125" t="str">
        <f aca="false">IF('Matching Sheet'!B81 = "", "", 'Matching Sheet'!B81)</f>
        <v/>
      </c>
      <c r="C81" s="126" t="str">
        <f aca="false">IF('Matching Sheet'!C81 = "", "", 'Matching Sheet'!C81)</f>
        <v/>
      </c>
      <c r="D81" s="126" t="str">
        <f aca="false">IF('Matching Sheet'!D81 = "", "", 'Matching Sheet'!D81)</f>
        <v/>
      </c>
      <c r="E81" s="126" t="str">
        <f aca="false">IF('Matching Sheet'!E81 = "", "", 'Matching Sheet'!E81)</f>
        <v/>
      </c>
      <c r="F81" s="126" t="str">
        <f aca="false">IF(Matching_Tb[[#This Row],[CMT  Set-up]] = "", "", Matching_Tb[[#This Row],[CMT  Set-up]])</f>
        <v/>
      </c>
      <c r="G81" s="120" t="str">
        <f aca="false">IF(Matching_Tb[[#This Row],[Start date]] = "", "", Matching_Tb[[#This Row],[Start date]])</f>
        <v/>
      </c>
      <c r="H81" s="120" t="str">
        <f aca="false">IF(Matching_Tb[[#This Row],[End date]] = "", "", Matching_Tb[[#This Row],[End date]])</f>
        <v/>
      </c>
      <c r="I81" s="127" t="str">
        <f aca="false">IF(Matching_Tb[[#This Row],[Competitor URL]] = "", "", HYPERLINK(Matching_Tb[[#This Row],[Competitor URL]], "Link"))</f>
        <v/>
      </c>
      <c r="J81" s="122" t="str">
        <f aca="false">IF(Retail_Tb[[#This Row],[MKPL]] = "", "", IF(Matching_Tb[[#This Row],[Promo code]] = "", "N/A", Matching_Tb[[#This Row],[Promo code]]))</f>
        <v/>
      </c>
      <c r="K81" s="126" t="str">
        <f aca="false">IF(Matching_Tb[[#This Row],[Offer Details]] = "", "", Matching_Tb[[#This Row],[Offer Details]])</f>
        <v/>
      </c>
      <c r="L81" s="121" t="str">
        <f aca="false">IF(Matching_Tb[[#This Row],[TT Link]] = "", "", IF(Matching_Tb[[#This Row],[Can be matched ? ]] = "No", "", HYPERLINK(Matching_Tb[[#This Row],[TT Link]], "Link")))</f>
        <v/>
      </c>
      <c r="M81" s="128" t="str">
        <f aca="false">IF(Matching_Tb[[#This Row],[Comment]] = "", "", VLOOKUP(Matching_Tb[[#This Row],[Comment]],Disclaimers!$A$3:$C$100, 3, 0))</f>
        <v/>
      </c>
    </row>
    <row r="82" customFormat="false" ht="14.25" hidden="false" customHeight="false" outlineLevel="0" collapsed="false">
      <c r="A82" s="124"/>
      <c r="B82" s="125" t="str">
        <f aca="false">IF('Matching Sheet'!B82 = "", "", 'Matching Sheet'!B82)</f>
        <v/>
      </c>
      <c r="C82" s="126" t="str">
        <f aca="false">IF('Matching Sheet'!C82 = "", "", 'Matching Sheet'!C82)</f>
        <v/>
      </c>
      <c r="D82" s="126" t="str">
        <f aca="false">IF('Matching Sheet'!D82 = "", "", 'Matching Sheet'!D82)</f>
        <v/>
      </c>
      <c r="E82" s="126" t="str">
        <f aca="false">IF('Matching Sheet'!E82 = "", "", 'Matching Sheet'!E82)</f>
        <v/>
      </c>
      <c r="F82" s="126" t="str">
        <f aca="false">IF(Matching_Tb[[#This Row],[CMT  Set-up]] = "", "", Matching_Tb[[#This Row],[CMT  Set-up]])</f>
        <v/>
      </c>
      <c r="G82" s="120" t="str">
        <f aca="false">IF(Matching_Tb[[#This Row],[Start date]] = "", "", Matching_Tb[[#This Row],[Start date]])</f>
        <v/>
      </c>
      <c r="H82" s="120" t="str">
        <f aca="false">IF(Matching_Tb[[#This Row],[End date]] = "", "", Matching_Tb[[#This Row],[End date]])</f>
        <v/>
      </c>
      <c r="I82" s="127" t="str">
        <f aca="false">IF(Matching_Tb[[#This Row],[Competitor URL]] = "", "", HYPERLINK(Matching_Tb[[#This Row],[Competitor URL]], "Link"))</f>
        <v/>
      </c>
      <c r="J82" s="122" t="str">
        <f aca="false">IF(Retail_Tb[[#This Row],[MKPL]] = "", "", IF(Matching_Tb[[#This Row],[Promo code]] = "", "N/A", Matching_Tb[[#This Row],[Promo code]]))</f>
        <v/>
      </c>
      <c r="K82" s="126" t="str">
        <f aca="false">IF(Matching_Tb[[#This Row],[Offer Details]] = "", "", Matching_Tb[[#This Row],[Offer Details]])</f>
        <v/>
      </c>
      <c r="L82" s="121" t="str">
        <f aca="false">IF(Matching_Tb[[#This Row],[TT Link]] = "", "", IF(Matching_Tb[[#This Row],[Can be matched ? ]] = "No", "", HYPERLINK(Matching_Tb[[#This Row],[TT Link]], "Link")))</f>
        <v/>
      </c>
      <c r="M82" s="128" t="str">
        <f aca="false">IF(Matching_Tb[[#This Row],[Comment]] = "", "", VLOOKUP(Matching_Tb[[#This Row],[Comment]],Disclaimers!$A$3:$C$100, 3, 0))</f>
        <v/>
      </c>
    </row>
    <row r="83" customFormat="false" ht="14.25" hidden="false" customHeight="false" outlineLevel="0" collapsed="false">
      <c r="A83" s="124"/>
      <c r="B83" s="125" t="str">
        <f aca="false">IF('Matching Sheet'!B83 = "", "", 'Matching Sheet'!B83)</f>
        <v/>
      </c>
      <c r="C83" s="126" t="str">
        <f aca="false">IF('Matching Sheet'!C83 = "", "", 'Matching Sheet'!C83)</f>
        <v/>
      </c>
      <c r="D83" s="126" t="str">
        <f aca="false">IF('Matching Sheet'!D83 = "", "", 'Matching Sheet'!D83)</f>
        <v/>
      </c>
      <c r="E83" s="126" t="str">
        <f aca="false">IF('Matching Sheet'!E83 = "", "", 'Matching Sheet'!E83)</f>
        <v/>
      </c>
      <c r="F83" s="126" t="str">
        <f aca="false">IF(Matching_Tb[[#This Row],[CMT  Set-up]] = "", "", Matching_Tb[[#This Row],[CMT  Set-up]])</f>
        <v/>
      </c>
      <c r="G83" s="120" t="str">
        <f aca="false">IF(Matching_Tb[[#This Row],[Start date]] = "", "", Matching_Tb[[#This Row],[Start date]])</f>
        <v/>
      </c>
      <c r="H83" s="120" t="str">
        <f aca="false">IF(Matching_Tb[[#This Row],[End date]] = "", "", Matching_Tb[[#This Row],[End date]])</f>
        <v/>
      </c>
      <c r="I83" s="127" t="str">
        <f aca="false">IF(Matching_Tb[[#This Row],[Competitor URL]] = "", "", HYPERLINK(Matching_Tb[[#This Row],[Competitor URL]], "Link"))</f>
        <v/>
      </c>
      <c r="J83" s="122" t="str">
        <f aca="false">IF(Retail_Tb[[#This Row],[MKPL]] = "", "", IF(Matching_Tb[[#This Row],[Promo code]] = "", "N/A", Matching_Tb[[#This Row],[Promo code]]))</f>
        <v/>
      </c>
      <c r="K83" s="126" t="str">
        <f aca="false">IF(Matching_Tb[[#This Row],[Offer Details]] = "", "", Matching_Tb[[#This Row],[Offer Details]])</f>
        <v/>
      </c>
      <c r="L83" s="121" t="str">
        <f aca="false">IF(Matching_Tb[[#This Row],[TT Link]] = "", "", IF(Matching_Tb[[#This Row],[Can be matched ? ]] = "No", "", HYPERLINK(Matching_Tb[[#This Row],[TT Link]], "Link")))</f>
        <v/>
      </c>
      <c r="M83" s="128" t="str">
        <f aca="false">IF(Matching_Tb[[#This Row],[Comment]] = "", "", VLOOKUP(Matching_Tb[[#This Row],[Comment]],Disclaimers!$A$3:$C$100, 3, 0))</f>
        <v/>
      </c>
    </row>
    <row r="84" customFormat="false" ht="14.25" hidden="false" customHeight="false" outlineLevel="0" collapsed="false">
      <c r="A84" s="124"/>
      <c r="B84" s="125" t="str">
        <f aca="false">IF('Matching Sheet'!B84 = "", "", 'Matching Sheet'!B84)</f>
        <v/>
      </c>
      <c r="C84" s="126" t="str">
        <f aca="false">IF('Matching Sheet'!C84 = "", "", 'Matching Sheet'!C84)</f>
        <v/>
      </c>
      <c r="D84" s="126" t="str">
        <f aca="false">IF('Matching Sheet'!D84 = "", "", 'Matching Sheet'!D84)</f>
        <v/>
      </c>
      <c r="E84" s="126" t="str">
        <f aca="false">IF('Matching Sheet'!E84 = "", "", 'Matching Sheet'!E84)</f>
        <v/>
      </c>
      <c r="F84" s="126" t="str">
        <f aca="false">IF(Matching_Tb[[#This Row],[CMT  Set-up]] = "", "", Matching_Tb[[#This Row],[CMT  Set-up]])</f>
        <v/>
      </c>
      <c r="G84" s="120" t="str">
        <f aca="false">IF(Matching_Tb[[#This Row],[Start date]] = "", "", Matching_Tb[[#This Row],[Start date]])</f>
        <v/>
      </c>
      <c r="H84" s="120" t="str">
        <f aca="false">IF(Matching_Tb[[#This Row],[End date]] = "", "", Matching_Tb[[#This Row],[End date]])</f>
        <v/>
      </c>
      <c r="I84" s="127" t="str">
        <f aca="false">IF(Matching_Tb[[#This Row],[Competitor URL]] = "", "", HYPERLINK(Matching_Tb[[#This Row],[Competitor URL]], "Link"))</f>
        <v/>
      </c>
      <c r="J84" s="122" t="str">
        <f aca="false">IF(Retail_Tb[[#This Row],[MKPL]] = "", "", IF(Matching_Tb[[#This Row],[Promo code]] = "", "N/A", Matching_Tb[[#This Row],[Promo code]]))</f>
        <v/>
      </c>
      <c r="K84" s="126" t="str">
        <f aca="false">IF(Matching_Tb[[#This Row],[Offer Details]] = "", "", Matching_Tb[[#This Row],[Offer Details]])</f>
        <v/>
      </c>
      <c r="L84" s="121" t="str">
        <f aca="false">IF(Matching_Tb[[#This Row],[TT Link]] = "", "", IF(Matching_Tb[[#This Row],[Can be matched ? ]] = "No", "", HYPERLINK(Matching_Tb[[#This Row],[TT Link]], "Link")))</f>
        <v/>
      </c>
      <c r="M84" s="128" t="str">
        <f aca="false">IF(Matching_Tb[[#This Row],[Comment]] = "", "", VLOOKUP(Matching_Tb[[#This Row],[Comment]],Disclaimers!$A$3:$C$100, 3, 0))</f>
        <v/>
      </c>
    </row>
    <row r="85" customFormat="false" ht="14.25" hidden="false" customHeight="false" outlineLevel="0" collapsed="false">
      <c r="A85" s="124"/>
      <c r="B85" s="125" t="str">
        <f aca="false">IF('Matching Sheet'!B85 = "", "", 'Matching Sheet'!B85)</f>
        <v/>
      </c>
      <c r="C85" s="126" t="str">
        <f aca="false">IF('Matching Sheet'!C85 = "", "", 'Matching Sheet'!C85)</f>
        <v/>
      </c>
      <c r="D85" s="126" t="str">
        <f aca="false">IF('Matching Sheet'!D85 = "", "", 'Matching Sheet'!D85)</f>
        <v/>
      </c>
      <c r="E85" s="126" t="str">
        <f aca="false">IF('Matching Sheet'!E85 = "", "", 'Matching Sheet'!E85)</f>
        <v/>
      </c>
      <c r="F85" s="126" t="str">
        <f aca="false">IF(Matching_Tb[[#This Row],[CMT  Set-up]] = "", "", Matching_Tb[[#This Row],[CMT  Set-up]])</f>
        <v/>
      </c>
      <c r="G85" s="120" t="str">
        <f aca="false">IF(Matching_Tb[[#This Row],[Start date]] = "", "", Matching_Tb[[#This Row],[Start date]])</f>
        <v/>
      </c>
      <c r="H85" s="120" t="str">
        <f aca="false">IF(Matching_Tb[[#This Row],[End date]] = "", "", Matching_Tb[[#This Row],[End date]])</f>
        <v/>
      </c>
      <c r="I85" s="127" t="str">
        <f aca="false">IF(Matching_Tb[[#This Row],[Competitor URL]] = "", "", HYPERLINK(Matching_Tb[[#This Row],[Competitor URL]], "Link"))</f>
        <v/>
      </c>
      <c r="J85" s="122" t="str">
        <f aca="false">IF(Retail_Tb[[#This Row],[MKPL]] = "", "", IF(Matching_Tb[[#This Row],[Promo code]] = "", "N/A", Matching_Tb[[#This Row],[Promo code]]))</f>
        <v/>
      </c>
      <c r="K85" s="126" t="str">
        <f aca="false">IF(Matching_Tb[[#This Row],[Offer Details]] = "", "", Matching_Tb[[#This Row],[Offer Details]])</f>
        <v/>
      </c>
      <c r="L85" s="121" t="str">
        <f aca="false">IF(Matching_Tb[[#This Row],[TT Link]] = "", "", IF(Matching_Tb[[#This Row],[Can be matched ? ]] = "No", "", HYPERLINK(Matching_Tb[[#This Row],[TT Link]], "Link")))</f>
        <v/>
      </c>
      <c r="M85" s="128" t="str">
        <f aca="false">IF(Matching_Tb[[#This Row],[Comment]] = "", "", VLOOKUP(Matching_Tb[[#This Row],[Comment]],Disclaimers!$A$3:$C$100, 3, 0))</f>
        <v/>
      </c>
    </row>
    <row r="86" customFormat="false" ht="14.25" hidden="false" customHeight="false" outlineLevel="0" collapsed="false">
      <c r="A86" s="124"/>
      <c r="B86" s="125" t="str">
        <f aca="false">IF('Matching Sheet'!B86 = "", "", 'Matching Sheet'!B86)</f>
        <v/>
      </c>
      <c r="C86" s="126" t="str">
        <f aca="false">IF('Matching Sheet'!C86 = "", "", 'Matching Sheet'!C86)</f>
        <v/>
      </c>
      <c r="D86" s="126" t="str">
        <f aca="false">IF('Matching Sheet'!D86 = "", "", 'Matching Sheet'!D86)</f>
        <v/>
      </c>
      <c r="E86" s="126" t="str">
        <f aca="false">IF('Matching Sheet'!E86 = "", "", 'Matching Sheet'!E86)</f>
        <v/>
      </c>
      <c r="F86" s="126" t="str">
        <f aca="false">IF(Matching_Tb[[#This Row],[CMT  Set-up]] = "", "", Matching_Tb[[#This Row],[CMT  Set-up]])</f>
        <v/>
      </c>
      <c r="G86" s="120" t="str">
        <f aca="false">IF(Matching_Tb[[#This Row],[Start date]] = "", "", Matching_Tb[[#This Row],[Start date]])</f>
        <v/>
      </c>
      <c r="H86" s="120" t="str">
        <f aca="false">IF(Matching_Tb[[#This Row],[End date]] = "", "", Matching_Tb[[#This Row],[End date]])</f>
        <v/>
      </c>
      <c r="I86" s="127" t="str">
        <f aca="false">IF(Matching_Tb[[#This Row],[Competitor URL]] = "", "", HYPERLINK(Matching_Tb[[#This Row],[Competitor URL]], "Link"))</f>
        <v/>
      </c>
      <c r="J86" s="122" t="str">
        <f aca="false">IF(Retail_Tb[[#This Row],[MKPL]] = "", "", IF(Matching_Tb[[#This Row],[Promo code]] = "", "N/A", Matching_Tb[[#This Row],[Promo code]]))</f>
        <v/>
      </c>
      <c r="K86" s="126" t="str">
        <f aca="false">IF(Matching_Tb[[#This Row],[Offer Details]] = "", "", Matching_Tb[[#This Row],[Offer Details]])</f>
        <v/>
      </c>
      <c r="L86" s="121" t="str">
        <f aca="false">IF(Matching_Tb[[#This Row],[TT Link]] = "", "", IF(Matching_Tb[[#This Row],[Can be matched ? ]] = "No", "", HYPERLINK(Matching_Tb[[#This Row],[TT Link]], "Link")))</f>
        <v/>
      </c>
      <c r="M86" s="128" t="str">
        <f aca="false">IF(Matching_Tb[[#This Row],[Comment]] = "", "", VLOOKUP(Matching_Tb[[#This Row],[Comment]],Disclaimers!$A$3:$C$100, 3, 0))</f>
        <v/>
      </c>
    </row>
    <row r="87" customFormat="false" ht="14.25" hidden="false" customHeight="false" outlineLevel="0" collapsed="false">
      <c r="A87" s="124"/>
      <c r="B87" s="125" t="str">
        <f aca="false">IF('Matching Sheet'!B87 = "", "", 'Matching Sheet'!B87)</f>
        <v/>
      </c>
      <c r="C87" s="126" t="str">
        <f aca="false">IF('Matching Sheet'!C87 = "", "", 'Matching Sheet'!C87)</f>
        <v/>
      </c>
      <c r="D87" s="126" t="str">
        <f aca="false">IF('Matching Sheet'!D87 = "", "", 'Matching Sheet'!D87)</f>
        <v/>
      </c>
      <c r="E87" s="126" t="str">
        <f aca="false">IF('Matching Sheet'!E87 = "", "", 'Matching Sheet'!E87)</f>
        <v/>
      </c>
      <c r="F87" s="126" t="str">
        <f aca="false">IF(Matching_Tb[[#This Row],[CMT  Set-up]] = "", "", Matching_Tb[[#This Row],[CMT  Set-up]])</f>
        <v/>
      </c>
      <c r="G87" s="120" t="str">
        <f aca="false">IF(Matching_Tb[[#This Row],[Start date]] = "", "", Matching_Tb[[#This Row],[Start date]])</f>
        <v/>
      </c>
      <c r="H87" s="120" t="str">
        <f aca="false">IF(Matching_Tb[[#This Row],[End date]] = "", "", Matching_Tb[[#This Row],[End date]])</f>
        <v/>
      </c>
      <c r="I87" s="127" t="str">
        <f aca="false">IF(Matching_Tb[[#This Row],[Competitor URL]] = "", "", HYPERLINK(Matching_Tb[[#This Row],[Competitor URL]], "Link"))</f>
        <v/>
      </c>
      <c r="J87" s="122" t="str">
        <f aca="false">IF(Retail_Tb[[#This Row],[MKPL]] = "", "", IF(Matching_Tb[[#This Row],[Promo code]] = "", "N/A", Matching_Tb[[#This Row],[Promo code]]))</f>
        <v/>
      </c>
      <c r="K87" s="126" t="str">
        <f aca="false">IF(Matching_Tb[[#This Row],[Offer Details]] = "", "", Matching_Tb[[#This Row],[Offer Details]])</f>
        <v/>
      </c>
      <c r="L87" s="121" t="str">
        <f aca="false">IF(Matching_Tb[[#This Row],[TT Link]] = "", "", IF(Matching_Tb[[#This Row],[Can be matched ? ]] = "No", "", HYPERLINK(Matching_Tb[[#This Row],[TT Link]], "Link")))</f>
        <v/>
      </c>
      <c r="M87" s="128" t="str">
        <f aca="false">IF(Matching_Tb[[#This Row],[Comment]] = "", "", VLOOKUP(Matching_Tb[[#This Row],[Comment]],Disclaimers!$A$3:$C$100, 3, 0))</f>
        <v/>
      </c>
    </row>
    <row r="88" customFormat="false" ht="14.25" hidden="false" customHeight="false" outlineLevel="0" collapsed="false">
      <c r="A88" s="124"/>
      <c r="B88" s="125" t="str">
        <f aca="false">IF('Matching Sheet'!B88 = "", "", 'Matching Sheet'!B88)</f>
        <v/>
      </c>
      <c r="C88" s="126" t="str">
        <f aca="false">IF('Matching Sheet'!C88 = "", "", 'Matching Sheet'!C88)</f>
        <v/>
      </c>
      <c r="D88" s="126" t="str">
        <f aca="false">IF('Matching Sheet'!D88 = "", "", 'Matching Sheet'!D88)</f>
        <v/>
      </c>
      <c r="E88" s="126" t="str">
        <f aca="false">IF('Matching Sheet'!E88 = "", "", 'Matching Sheet'!E88)</f>
        <v/>
      </c>
      <c r="F88" s="126" t="str">
        <f aca="false">IF(Matching_Tb[[#This Row],[CMT  Set-up]] = "", "", Matching_Tb[[#This Row],[CMT  Set-up]])</f>
        <v/>
      </c>
      <c r="G88" s="120" t="str">
        <f aca="false">IF(Matching_Tb[[#This Row],[Start date]] = "", "", Matching_Tb[[#This Row],[Start date]])</f>
        <v/>
      </c>
      <c r="H88" s="120" t="str">
        <f aca="false">IF(Matching_Tb[[#This Row],[End date]] = "", "", Matching_Tb[[#This Row],[End date]])</f>
        <v/>
      </c>
      <c r="I88" s="127" t="str">
        <f aca="false">IF(Matching_Tb[[#This Row],[Competitor URL]] = "", "", HYPERLINK(Matching_Tb[[#This Row],[Competitor URL]], "Link"))</f>
        <v/>
      </c>
      <c r="J88" s="122" t="str">
        <f aca="false">IF(Retail_Tb[[#This Row],[MKPL]] = "", "", IF(Matching_Tb[[#This Row],[Promo code]] = "", "N/A", Matching_Tb[[#This Row],[Promo code]]))</f>
        <v/>
      </c>
      <c r="K88" s="126" t="str">
        <f aca="false">IF(Matching_Tb[[#This Row],[Offer Details]] = "", "", Matching_Tb[[#This Row],[Offer Details]])</f>
        <v/>
      </c>
      <c r="L88" s="121" t="str">
        <f aca="false">IF(Matching_Tb[[#This Row],[TT Link]] = "", "", IF(Matching_Tb[[#This Row],[Can be matched ? ]] = "No", "", HYPERLINK(Matching_Tb[[#This Row],[TT Link]], "Link")))</f>
        <v/>
      </c>
      <c r="M88" s="128" t="str">
        <f aca="false">IF(Matching_Tb[[#This Row],[Comment]] = "", "", VLOOKUP(Matching_Tb[[#This Row],[Comment]],Disclaimers!$A$3:$C$100, 3, 0))</f>
        <v/>
      </c>
    </row>
    <row r="89" customFormat="false" ht="14.25" hidden="false" customHeight="false" outlineLevel="0" collapsed="false">
      <c r="A89" s="124"/>
      <c r="B89" s="125" t="str">
        <f aca="false">IF('Matching Sheet'!B89 = "", "", 'Matching Sheet'!B89)</f>
        <v/>
      </c>
      <c r="C89" s="126" t="str">
        <f aca="false">IF('Matching Sheet'!C89 = "", "", 'Matching Sheet'!C89)</f>
        <v/>
      </c>
      <c r="D89" s="126" t="str">
        <f aca="false">IF('Matching Sheet'!D89 = "", "", 'Matching Sheet'!D89)</f>
        <v/>
      </c>
      <c r="E89" s="126" t="str">
        <f aca="false">IF('Matching Sheet'!E89 = "", "", 'Matching Sheet'!E89)</f>
        <v/>
      </c>
      <c r="F89" s="126" t="str">
        <f aca="false">IF(Matching_Tb[[#This Row],[CMT  Set-up]] = "", "", Matching_Tb[[#This Row],[CMT  Set-up]])</f>
        <v/>
      </c>
      <c r="G89" s="120" t="str">
        <f aca="false">IF(Matching_Tb[[#This Row],[Start date]] = "", "", Matching_Tb[[#This Row],[Start date]])</f>
        <v/>
      </c>
      <c r="H89" s="120" t="str">
        <f aca="false">IF(Matching_Tb[[#This Row],[End date]] = "", "", Matching_Tb[[#This Row],[End date]])</f>
        <v/>
      </c>
      <c r="I89" s="127" t="str">
        <f aca="false">IF(Matching_Tb[[#This Row],[Competitor URL]] = "", "", HYPERLINK(Matching_Tb[[#This Row],[Competitor URL]], "Link"))</f>
        <v/>
      </c>
      <c r="J89" s="122" t="str">
        <f aca="false">IF(Retail_Tb[[#This Row],[MKPL]] = "", "", IF(Matching_Tb[[#This Row],[Promo code]] = "", "N/A", Matching_Tb[[#This Row],[Promo code]]))</f>
        <v/>
      </c>
      <c r="K89" s="126" t="str">
        <f aca="false">IF(Matching_Tb[[#This Row],[Offer Details]] = "", "", Matching_Tb[[#This Row],[Offer Details]])</f>
        <v/>
      </c>
      <c r="L89" s="121" t="str">
        <f aca="false">IF(Matching_Tb[[#This Row],[TT Link]] = "", "", IF(Matching_Tb[[#This Row],[Can be matched ? ]] = "No", "", HYPERLINK(Matching_Tb[[#This Row],[TT Link]], "Link")))</f>
        <v/>
      </c>
      <c r="M89" s="128" t="str">
        <f aca="false">IF(Matching_Tb[[#This Row],[Comment]] = "", "", VLOOKUP(Matching_Tb[[#This Row],[Comment]],Disclaimers!$A$3:$C$100, 3, 0))</f>
        <v/>
      </c>
    </row>
    <row r="90" customFormat="false" ht="14.25" hidden="false" customHeight="false" outlineLevel="0" collapsed="false">
      <c r="A90" s="124"/>
      <c r="B90" s="125" t="str">
        <f aca="false">IF('Matching Sheet'!B90 = "", "", 'Matching Sheet'!B90)</f>
        <v/>
      </c>
      <c r="C90" s="126" t="str">
        <f aca="false">IF('Matching Sheet'!C90 = "", "", 'Matching Sheet'!C90)</f>
        <v/>
      </c>
      <c r="D90" s="126" t="str">
        <f aca="false">IF('Matching Sheet'!D90 = "", "", 'Matching Sheet'!D90)</f>
        <v/>
      </c>
      <c r="E90" s="126" t="str">
        <f aca="false">IF('Matching Sheet'!E90 = "", "", 'Matching Sheet'!E90)</f>
        <v/>
      </c>
      <c r="F90" s="126" t="str">
        <f aca="false">IF(Matching_Tb[[#This Row],[CMT  Set-up]] = "", "", Matching_Tb[[#This Row],[CMT  Set-up]])</f>
        <v/>
      </c>
      <c r="G90" s="120" t="str">
        <f aca="false">IF(Matching_Tb[[#This Row],[Start date]] = "", "", Matching_Tb[[#This Row],[Start date]])</f>
        <v/>
      </c>
      <c r="H90" s="120" t="str">
        <f aca="false">IF(Matching_Tb[[#This Row],[End date]] = "", "", Matching_Tb[[#This Row],[End date]])</f>
        <v/>
      </c>
      <c r="I90" s="127" t="str">
        <f aca="false">IF(Matching_Tb[[#This Row],[Competitor URL]] = "", "", HYPERLINK(Matching_Tb[[#This Row],[Competitor URL]], "Link"))</f>
        <v/>
      </c>
      <c r="J90" s="122" t="str">
        <f aca="false">IF(Retail_Tb[[#This Row],[MKPL]] = "", "", IF(Matching_Tb[[#This Row],[Promo code]] = "", "N/A", Matching_Tb[[#This Row],[Promo code]]))</f>
        <v/>
      </c>
      <c r="K90" s="126" t="str">
        <f aca="false">IF(Matching_Tb[[#This Row],[Offer Details]] = "", "", Matching_Tb[[#This Row],[Offer Details]])</f>
        <v/>
      </c>
      <c r="L90" s="121" t="str">
        <f aca="false">IF(Matching_Tb[[#This Row],[TT Link]] = "", "", IF(Matching_Tb[[#This Row],[Can be matched ? ]] = "No", "", HYPERLINK(Matching_Tb[[#This Row],[TT Link]], "Link")))</f>
        <v/>
      </c>
      <c r="M90" s="128" t="str">
        <f aca="false">IF(Matching_Tb[[#This Row],[Comment]] = "", "", VLOOKUP(Matching_Tb[[#This Row],[Comment]],Disclaimers!$A$3:$C$100, 3, 0))</f>
        <v/>
      </c>
    </row>
    <row r="91" customFormat="false" ht="14.25" hidden="false" customHeight="false" outlineLevel="0" collapsed="false">
      <c r="A91" s="124"/>
      <c r="B91" s="125" t="str">
        <f aca="false">IF('Matching Sheet'!B91 = "", "", 'Matching Sheet'!B91)</f>
        <v/>
      </c>
      <c r="C91" s="126" t="str">
        <f aca="false">IF('Matching Sheet'!C91 = "", "", 'Matching Sheet'!C91)</f>
        <v/>
      </c>
      <c r="D91" s="126" t="str">
        <f aca="false">IF('Matching Sheet'!D91 = "", "", 'Matching Sheet'!D91)</f>
        <v/>
      </c>
      <c r="E91" s="126" t="str">
        <f aca="false">IF('Matching Sheet'!E91 = "", "", 'Matching Sheet'!E91)</f>
        <v/>
      </c>
      <c r="F91" s="126" t="str">
        <f aca="false">IF(Matching_Tb[[#This Row],[CMT  Set-up]] = "", "", Matching_Tb[[#This Row],[CMT  Set-up]])</f>
        <v/>
      </c>
      <c r="G91" s="120" t="str">
        <f aca="false">IF(Matching_Tb[[#This Row],[Start date]] = "", "", Matching_Tb[[#This Row],[Start date]])</f>
        <v/>
      </c>
      <c r="H91" s="120" t="str">
        <f aca="false">IF(Matching_Tb[[#This Row],[End date]] = "", "", Matching_Tb[[#This Row],[End date]])</f>
        <v/>
      </c>
      <c r="I91" s="127" t="str">
        <f aca="false">IF(Matching_Tb[[#This Row],[Competitor URL]] = "", "", HYPERLINK(Matching_Tb[[#This Row],[Competitor URL]], "Link"))</f>
        <v/>
      </c>
      <c r="J91" s="122" t="str">
        <f aca="false">IF(Retail_Tb[[#This Row],[MKPL]] = "", "", IF(Matching_Tb[[#This Row],[Promo code]] = "", "N/A", Matching_Tb[[#This Row],[Promo code]]))</f>
        <v/>
      </c>
      <c r="K91" s="126" t="str">
        <f aca="false">IF(Matching_Tb[[#This Row],[Offer Details]] = "", "", Matching_Tb[[#This Row],[Offer Details]])</f>
        <v/>
      </c>
      <c r="L91" s="121" t="str">
        <f aca="false">IF(Matching_Tb[[#This Row],[TT Link]] = "", "", IF(Matching_Tb[[#This Row],[Can be matched ? ]] = "No", "", HYPERLINK(Matching_Tb[[#This Row],[TT Link]], "Link")))</f>
        <v/>
      </c>
      <c r="M91" s="128" t="str">
        <f aca="false">IF(Matching_Tb[[#This Row],[Comment]] = "", "", VLOOKUP(Matching_Tb[[#This Row],[Comment]],Disclaimers!$A$3:$C$100, 3, 0))</f>
        <v/>
      </c>
    </row>
    <row r="92" customFormat="false" ht="14.25" hidden="false" customHeight="false" outlineLevel="0" collapsed="false">
      <c r="A92" s="124"/>
      <c r="B92" s="125" t="str">
        <f aca="false">IF('Matching Sheet'!B92 = "", "", 'Matching Sheet'!B92)</f>
        <v/>
      </c>
      <c r="C92" s="126" t="str">
        <f aca="false">IF('Matching Sheet'!C92 = "", "", 'Matching Sheet'!C92)</f>
        <v/>
      </c>
      <c r="D92" s="126" t="str">
        <f aca="false">IF('Matching Sheet'!D92 = "", "", 'Matching Sheet'!D92)</f>
        <v/>
      </c>
      <c r="E92" s="126" t="str">
        <f aca="false">IF('Matching Sheet'!E92 = "", "", 'Matching Sheet'!E92)</f>
        <v/>
      </c>
      <c r="F92" s="126" t="str">
        <f aca="false">IF(Matching_Tb[[#This Row],[CMT  Set-up]] = "", "", Matching_Tb[[#This Row],[CMT  Set-up]])</f>
        <v/>
      </c>
      <c r="G92" s="120" t="str">
        <f aca="false">IF(Matching_Tb[[#This Row],[Start date]] = "", "", Matching_Tb[[#This Row],[Start date]])</f>
        <v/>
      </c>
      <c r="H92" s="120" t="str">
        <f aca="false">IF(Matching_Tb[[#This Row],[End date]] = "", "", Matching_Tb[[#This Row],[End date]])</f>
        <v/>
      </c>
      <c r="I92" s="127" t="str">
        <f aca="false">IF(Matching_Tb[[#This Row],[Competitor URL]] = "", "", HYPERLINK(Matching_Tb[[#This Row],[Competitor URL]], "Link"))</f>
        <v/>
      </c>
      <c r="J92" s="122" t="str">
        <f aca="false">IF(Retail_Tb[[#This Row],[MKPL]] = "", "", IF(Matching_Tb[[#This Row],[Promo code]] = "", "N/A", Matching_Tb[[#This Row],[Promo code]]))</f>
        <v/>
      </c>
      <c r="K92" s="126" t="str">
        <f aca="false">IF(Matching_Tb[[#This Row],[Offer Details]] = "", "", Matching_Tb[[#This Row],[Offer Details]])</f>
        <v/>
      </c>
      <c r="L92" s="121" t="str">
        <f aca="false">IF(Matching_Tb[[#This Row],[TT Link]] = "", "", IF(Matching_Tb[[#This Row],[Can be matched ? ]] = "No", "", HYPERLINK(Matching_Tb[[#This Row],[TT Link]], "Link")))</f>
        <v/>
      </c>
      <c r="M92" s="128" t="str">
        <f aca="false">IF(Matching_Tb[[#This Row],[Comment]] = "", "", VLOOKUP(Matching_Tb[[#This Row],[Comment]],Disclaimers!$A$3:$C$100, 3, 0))</f>
        <v/>
      </c>
    </row>
    <row r="93" customFormat="false" ht="14.25" hidden="false" customHeight="false" outlineLevel="0" collapsed="false">
      <c r="A93" s="124"/>
      <c r="B93" s="125" t="str">
        <f aca="false">IF('Matching Sheet'!B93 = "", "", 'Matching Sheet'!B93)</f>
        <v/>
      </c>
      <c r="C93" s="126" t="str">
        <f aca="false">IF('Matching Sheet'!C93 = "", "", 'Matching Sheet'!C93)</f>
        <v/>
      </c>
      <c r="D93" s="126" t="str">
        <f aca="false">IF('Matching Sheet'!D93 = "", "", 'Matching Sheet'!D93)</f>
        <v/>
      </c>
      <c r="E93" s="126" t="str">
        <f aca="false">IF('Matching Sheet'!E93 = "", "", 'Matching Sheet'!E93)</f>
        <v/>
      </c>
      <c r="F93" s="126" t="str">
        <f aca="false">IF(Matching_Tb[[#This Row],[CMT  Set-up]] = "", "", Matching_Tb[[#This Row],[CMT  Set-up]])</f>
        <v/>
      </c>
      <c r="G93" s="120" t="str">
        <f aca="false">IF(Matching_Tb[[#This Row],[Start date]] = "", "", Matching_Tb[[#This Row],[Start date]])</f>
        <v/>
      </c>
      <c r="H93" s="120" t="str">
        <f aca="false">IF(Matching_Tb[[#This Row],[End date]] = "", "", Matching_Tb[[#This Row],[End date]])</f>
        <v/>
      </c>
      <c r="I93" s="127" t="str">
        <f aca="false">IF(Matching_Tb[[#This Row],[Competitor URL]] = "", "", HYPERLINK(Matching_Tb[[#This Row],[Competitor URL]], "Link"))</f>
        <v/>
      </c>
      <c r="J93" s="122" t="str">
        <f aca="false">IF(Retail_Tb[[#This Row],[MKPL]] = "", "", IF(Matching_Tb[[#This Row],[Promo code]] = "", "N/A", Matching_Tb[[#This Row],[Promo code]]))</f>
        <v/>
      </c>
      <c r="K93" s="126" t="str">
        <f aca="false">IF(Matching_Tb[[#This Row],[Offer Details]] = "", "", Matching_Tb[[#This Row],[Offer Details]])</f>
        <v/>
      </c>
      <c r="L93" s="121" t="str">
        <f aca="false">IF(Matching_Tb[[#This Row],[TT Link]] = "", "", IF(Matching_Tb[[#This Row],[Can be matched ? ]] = "No", "", HYPERLINK(Matching_Tb[[#This Row],[TT Link]], "Link")))</f>
        <v/>
      </c>
      <c r="M93" s="128" t="str">
        <f aca="false">IF(Matching_Tb[[#This Row],[Comment]] = "", "", VLOOKUP(Matching_Tb[[#This Row],[Comment]],Disclaimers!$A$3:$C$100, 3, 0))</f>
        <v/>
      </c>
    </row>
    <row r="94" customFormat="false" ht="14.25" hidden="false" customHeight="false" outlineLevel="0" collapsed="false">
      <c r="A94" s="124"/>
      <c r="B94" s="125" t="str">
        <f aca="false">IF('Matching Sheet'!B94 = "", "", 'Matching Sheet'!B94)</f>
        <v/>
      </c>
      <c r="C94" s="126" t="str">
        <f aca="false">IF('Matching Sheet'!C94 = "", "", 'Matching Sheet'!C94)</f>
        <v/>
      </c>
      <c r="D94" s="126" t="str">
        <f aca="false">IF('Matching Sheet'!D94 = "", "", 'Matching Sheet'!D94)</f>
        <v/>
      </c>
      <c r="E94" s="126" t="str">
        <f aca="false">IF('Matching Sheet'!E94 = "", "", 'Matching Sheet'!E94)</f>
        <v/>
      </c>
      <c r="F94" s="126" t="str">
        <f aca="false">IF(Matching_Tb[[#This Row],[CMT  Set-up]] = "", "", Matching_Tb[[#This Row],[CMT  Set-up]])</f>
        <v/>
      </c>
      <c r="G94" s="120" t="str">
        <f aca="false">IF(Matching_Tb[[#This Row],[Start date]] = "", "", Matching_Tb[[#This Row],[Start date]])</f>
        <v/>
      </c>
      <c r="H94" s="120" t="str">
        <f aca="false">IF(Matching_Tb[[#This Row],[End date]] = "", "", Matching_Tb[[#This Row],[End date]])</f>
        <v/>
      </c>
      <c r="I94" s="127" t="str">
        <f aca="false">IF(Matching_Tb[[#This Row],[Competitor URL]] = "", "", HYPERLINK(Matching_Tb[[#This Row],[Competitor URL]], "Link"))</f>
        <v/>
      </c>
      <c r="J94" s="122" t="str">
        <f aca="false">IF(Retail_Tb[[#This Row],[MKPL]] = "", "", IF(Matching_Tb[[#This Row],[Promo code]] = "", "N/A", Matching_Tb[[#This Row],[Promo code]]))</f>
        <v/>
      </c>
      <c r="K94" s="126" t="str">
        <f aca="false">IF(Matching_Tb[[#This Row],[Offer Details]] = "", "", Matching_Tb[[#This Row],[Offer Details]])</f>
        <v/>
      </c>
      <c r="L94" s="121" t="str">
        <f aca="false">IF(Matching_Tb[[#This Row],[TT Link]] = "", "", IF(Matching_Tb[[#This Row],[Can be matched ? ]] = "No", "", HYPERLINK(Matching_Tb[[#This Row],[TT Link]], "Link")))</f>
        <v/>
      </c>
      <c r="M94" s="128" t="str">
        <f aca="false">IF(Matching_Tb[[#This Row],[Comment]] = "", "", VLOOKUP(Matching_Tb[[#This Row],[Comment]],Disclaimers!$A$3:$C$100, 3, 0))</f>
        <v/>
      </c>
    </row>
    <row r="95" customFormat="false" ht="14.25" hidden="false" customHeight="false" outlineLevel="0" collapsed="false">
      <c r="A95" s="124"/>
      <c r="B95" s="125" t="str">
        <f aca="false">IF('Matching Sheet'!B95 = "", "", 'Matching Sheet'!B95)</f>
        <v/>
      </c>
      <c r="C95" s="126" t="str">
        <f aca="false">IF('Matching Sheet'!C95 = "", "", 'Matching Sheet'!C95)</f>
        <v/>
      </c>
      <c r="D95" s="126" t="str">
        <f aca="false">IF('Matching Sheet'!D95 = "", "", 'Matching Sheet'!D95)</f>
        <v/>
      </c>
      <c r="E95" s="126" t="str">
        <f aca="false">IF('Matching Sheet'!E95 = "", "", 'Matching Sheet'!E95)</f>
        <v/>
      </c>
      <c r="F95" s="126" t="str">
        <f aca="false">IF(Matching_Tb[[#This Row],[CMT  Set-up]] = "", "", Matching_Tb[[#This Row],[CMT  Set-up]])</f>
        <v/>
      </c>
      <c r="G95" s="120" t="str">
        <f aca="false">IF(Matching_Tb[[#This Row],[Start date]] = "", "", Matching_Tb[[#This Row],[Start date]])</f>
        <v/>
      </c>
      <c r="H95" s="120" t="str">
        <f aca="false">IF(Matching_Tb[[#This Row],[End date]] = "", "", Matching_Tb[[#This Row],[End date]])</f>
        <v/>
      </c>
      <c r="I95" s="127" t="str">
        <f aca="false">IF(Matching_Tb[[#This Row],[Competitor URL]] = "", "", HYPERLINK(Matching_Tb[[#This Row],[Competitor URL]], "Link"))</f>
        <v/>
      </c>
      <c r="J95" s="122" t="str">
        <f aca="false">IF(Retail_Tb[[#This Row],[MKPL]] = "", "", IF(Matching_Tb[[#This Row],[Promo code]] = "", "N/A", Matching_Tb[[#This Row],[Promo code]]))</f>
        <v/>
      </c>
      <c r="K95" s="126" t="str">
        <f aca="false">IF(Matching_Tb[[#This Row],[Offer Details]] = "", "", Matching_Tb[[#This Row],[Offer Details]])</f>
        <v/>
      </c>
      <c r="L95" s="121" t="str">
        <f aca="false">IF(Matching_Tb[[#This Row],[TT Link]] = "", "", IF(Matching_Tb[[#This Row],[Can be matched ? ]] = "No", "", HYPERLINK(Matching_Tb[[#This Row],[TT Link]], "Link")))</f>
        <v/>
      </c>
      <c r="M95" s="128" t="str">
        <f aca="false">IF(Matching_Tb[[#This Row],[Comment]] = "", "", VLOOKUP(Matching_Tb[[#This Row],[Comment]],Disclaimers!$A$3:$C$100, 3, 0))</f>
        <v/>
      </c>
    </row>
    <row r="96" customFormat="false" ht="14.25" hidden="false" customHeight="false" outlineLevel="0" collapsed="false">
      <c r="A96" s="124"/>
      <c r="B96" s="125" t="str">
        <f aca="false">IF('Matching Sheet'!B96 = "", "", 'Matching Sheet'!B96)</f>
        <v/>
      </c>
      <c r="C96" s="126" t="str">
        <f aca="false">IF('Matching Sheet'!C96 = "", "", 'Matching Sheet'!C96)</f>
        <v/>
      </c>
      <c r="D96" s="126" t="str">
        <f aca="false">IF('Matching Sheet'!D96 = "", "", 'Matching Sheet'!D96)</f>
        <v/>
      </c>
      <c r="E96" s="126" t="str">
        <f aca="false">IF('Matching Sheet'!E96 = "", "", 'Matching Sheet'!E96)</f>
        <v/>
      </c>
      <c r="F96" s="126" t="str">
        <f aca="false">IF(Matching_Tb[[#This Row],[CMT  Set-up]] = "", "", Matching_Tb[[#This Row],[CMT  Set-up]])</f>
        <v/>
      </c>
      <c r="G96" s="120" t="str">
        <f aca="false">IF(Matching_Tb[[#This Row],[Start date]] = "", "", Matching_Tb[[#This Row],[Start date]])</f>
        <v/>
      </c>
      <c r="H96" s="120" t="str">
        <f aca="false">IF(Matching_Tb[[#This Row],[End date]] = "", "", Matching_Tb[[#This Row],[End date]])</f>
        <v/>
      </c>
      <c r="I96" s="127" t="str">
        <f aca="false">IF(Matching_Tb[[#This Row],[Competitor URL]] = "", "", HYPERLINK(Matching_Tb[[#This Row],[Competitor URL]], "Link"))</f>
        <v/>
      </c>
      <c r="J96" s="122" t="str">
        <f aca="false">IF(Retail_Tb[[#This Row],[MKPL]] = "", "", IF(Matching_Tb[[#This Row],[Promo code]] = "", "N/A", Matching_Tb[[#This Row],[Promo code]]))</f>
        <v/>
      </c>
      <c r="K96" s="126" t="str">
        <f aca="false">IF(Matching_Tb[[#This Row],[Offer Details]] = "", "", Matching_Tb[[#This Row],[Offer Details]])</f>
        <v/>
      </c>
      <c r="L96" s="121" t="str">
        <f aca="false">IF(Matching_Tb[[#This Row],[TT Link]] = "", "", IF(Matching_Tb[[#This Row],[Can be matched ? ]] = "No", "", HYPERLINK(Matching_Tb[[#This Row],[TT Link]], "Link")))</f>
        <v/>
      </c>
      <c r="M96" s="128" t="str">
        <f aca="false">IF(Matching_Tb[[#This Row],[Comment]] = "", "", VLOOKUP(Matching_Tb[[#This Row],[Comment]],Disclaimers!$A$3:$C$100, 3, 0))</f>
        <v/>
      </c>
    </row>
    <row r="97" customFormat="false" ht="14.25" hidden="false" customHeight="false" outlineLevel="0" collapsed="false">
      <c r="A97" s="124"/>
      <c r="B97" s="125" t="str">
        <f aca="false">IF('Matching Sheet'!B97 = "", "", 'Matching Sheet'!B97)</f>
        <v/>
      </c>
      <c r="C97" s="126" t="str">
        <f aca="false">IF('Matching Sheet'!C97 = "", "", 'Matching Sheet'!C97)</f>
        <v/>
      </c>
      <c r="D97" s="126" t="str">
        <f aca="false">IF('Matching Sheet'!D97 = "", "", 'Matching Sheet'!D97)</f>
        <v/>
      </c>
      <c r="E97" s="126" t="str">
        <f aca="false">IF('Matching Sheet'!E97 = "", "", 'Matching Sheet'!E97)</f>
        <v/>
      </c>
      <c r="F97" s="126" t="str">
        <f aca="false">IF(Matching_Tb[[#This Row],[CMT  Set-up]] = "", "", Matching_Tb[[#This Row],[CMT  Set-up]])</f>
        <v/>
      </c>
      <c r="G97" s="120" t="str">
        <f aca="false">IF(Matching_Tb[[#This Row],[Start date]] = "", "", Matching_Tb[[#This Row],[Start date]])</f>
        <v/>
      </c>
      <c r="H97" s="120" t="str">
        <f aca="false">IF(Matching_Tb[[#This Row],[End date]] = "", "", Matching_Tb[[#This Row],[End date]])</f>
        <v/>
      </c>
      <c r="I97" s="127" t="str">
        <f aca="false">IF(Matching_Tb[[#This Row],[Competitor URL]] = "", "", HYPERLINK(Matching_Tb[[#This Row],[Competitor URL]], "Link"))</f>
        <v/>
      </c>
      <c r="J97" s="122" t="str">
        <f aca="false">IF(Retail_Tb[[#This Row],[MKPL]] = "", "", IF(Matching_Tb[[#This Row],[Promo code]] = "", "N/A", Matching_Tb[[#This Row],[Promo code]]))</f>
        <v/>
      </c>
      <c r="K97" s="126" t="str">
        <f aca="false">IF(Matching_Tb[[#This Row],[Offer Details]] = "", "", Matching_Tb[[#This Row],[Offer Details]])</f>
        <v/>
      </c>
      <c r="L97" s="121" t="str">
        <f aca="false">IF(Matching_Tb[[#This Row],[TT Link]] = "", "", IF(Matching_Tb[[#This Row],[Can be matched ? ]] = "No", "", HYPERLINK(Matching_Tb[[#This Row],[TT Link]], "Link")))</f>
        <v/>
      </c>
      <c r="M97" s="128" t="str">
        <f aca="false">IF(Matching_Tb[[#This Row],[Comment]] = "", "", VLOOKUP(Matching_Tb[[#This Row],[Comment]],Disclaimers!$A$3:$C$100, 3, 0))</f>
        <v/>
      </c>
    </row>
    <row r="98" customFormat="false" ht="14.25" hidden="false" customHeight="false" outlineLevel="0" collapsed="false">
      <c r="A98" s="124"/>
      <c r="B98" s="125" t="str">
        <f aca="false">IF('Matching Sheet'!B98 = "", "", 'Matching Sheet'!B98)</f>
        <v/>
      </c>
      <c r="C98" s="126" t="str">
        <f aca="false">IF('Matching Sheet'!C98 = "", "", 'Matching Sheet'!C98)</f>
        <v/>
      </c>
      <c r="D98" s="126" t="str">
        <f aca="false">IF('Matching Sheet'!D98 = "", "", 'Matching Sheet'!D98)</f>
        <v/>
      </c>
      <c r="E98" s="126" t="str">
        <f aca="false">IF('Matching Sheet'!E98 = "", "", 'Matching Sheet'!E98)</f>
        <v/>
      </c>
      <c r="F98" s="126" t="str">
        <f aca="false">IF(Matching_Tb[[#This Row],[CMT  Set-up]] = "", "", Matching_Tb[[#This Row],[CMT  Set-up]])</f>
        <v/>
      </c>
      <c r="G98" s="120" t="str">
        <f aca="false">IF(Matching_Tb[[#This Row],[Start date]] = "", "", Matching_Tb[[#This Row],[Start date]])</f>
        <v/>
      </c>
      <c r="H98" s="120" t="str">
        <f aca="false">IF(Matching_Tb[[#This Row],[End date]] = "", "", Matching_Tb[[#This Row],[End date]])</f>
        <v/>
      </c>
      <c r="I98" s="127" t="str">
        <f aca="false">IF(Matching_Tb[[#This Row],[Competitor URL]] = "", "", HYPERLINK(Matching_Tb[[#This Row],[Competitor URL]], "Link"))</f>
        <v/>
      </c>
      <c r="J98" s="122" t="str">
        <f aca="false">IF(Retail_Tb[[#This Row],[MKPL]] = "", "", IF(Matching_Tb[[#This Row],[Promo code]] = "", "N/A", Matching_Tb[[#This Row],[Promo code]]))</f>
        <v/>
      </c>
      <c r="K98" s="126" t="str">
        <f aca="false">IF(Matching_Tb[[#This Row],[Offer Details]] = "", "", Matching_Tb[[#This Row],[Offer Details]])</f>
        <v/>
      </c>
      <c r="L98" s="121" t="str">
        <f aca="false">IF(Matching_Tb[[#This Row],[TT Link]] = "", "", IF(Matching_Tb[[#This Row],[Can be matched ? ]] = "No", "", HYPERLINK(Matching_Tb[[#This Row],[TT Link]], "Link")))</f>
        <v/>
      </c>
      <c r="M98" s="128" t="str">
        <f aca="false">IF(Matching_Tb[[#This Row],[Comment]] = "", "", VLOOKUP(Matching_Tb[[#This Row],[Comment]],Disclaimers!$A$3:$C$100, 3, 0))</f>
        <v/>
      </c>
    </row>
    <row r="99" customFormat="false" ht="14.25" hidden="false" customHeight="false" outlineLevel="0" collapsed="false">
      <c r="A99" s="124"/>
      <c r="B99" s="125" t="str">
        <f aca="false">IF('Matching Sheet'!B99 = "", "", 'Matching Sheet'!B99)</f>
        <v/>
      </c>
      <c r="C99" s="126" t="str">
        <f aca="false">IF('Matching Sheet'!C99 = "", "", 'Matching Sheet'!C99)</f>
        <v/>
      </c>
      <c r="D99" s="126" t="str">
        <f aca="false">IF('Matching Sheet'!D99 = "", "", 'Matching Sheet'!D99)</f>
        <v/>
      </c>
      <c r="E99" s="126" t="str">
        <f aca="false">IF('Matching Sheet'!E99 = "", "", 'Matching Sheet'!E99)</f>
        <v/>
      </c>
      <c r="F99" s="126" t="str">
        <f aca="false">IF(Matching_Tb[[#This Row],[CMT  Set-up]] = "", "", Matching_Tb[[#This Row],[CMT  Set-up]])</f>
        <v/>
      </c>
      <c r="G99" s="120" t="str">
        <f aca="false">IF(Matching_Tb[[#This Row],[Start date]] = "", "", Matching_Tb[[#This Row],[Start date]])</f>
        <v/>
      </c>
      <c r="H99" s="120" t="str">
        <f aca="false">IF(Matching_Tb[[#This Row],[End date]] = "", "", Matching_Tb[[#This Row],[End date]])</f>
        <v/>
      </c>
      <c r="I99" s="127" t="str">
        <f aca="false">IF(Matching_Tb[[#This Row],[Competitor URL]] = "", "", HYPERLINK(Matching_Tb[[#This Row],[Competitor URL]], "Link"))</f>
        <v/>
      </c>
      <c r="J99" s="122" t="str">
        <f aca="false">IF(Retail_Tb[[#This Row],[MKPL]] = "", "", IF(Matching_Tb[[#This Row],[Promo code]] = "", "N/A", Matching_Tb[[#This Row],[Promo code]]))</f>
        <v/>
      </c>
      <c r="K99" s="126" t="str">
        <f aca="false">IF(Matching_Tb[[#This Row],[Offer Details]] = "", "", Matching_Tb[[#This Row],[Offer Details]])</f>
        <v/>
      </c>
      <c r="L99" s="121" t="str">
        <f aca="false">IF(Matching_Tb[[#This Row],[TT Link]] = "", "", IF(Matching_Tb[[#This Row],[Can be matched ? ]] = "No", "", HYPERLINK(Matching_Tb[[#This Row],[TT Link]], "Link")))</f>
        <v/>
      </c>
      <c r="M99" s="128" t="str">
        <f aca="false">IF(Matching_Tb[[#This Row],[Comment]] = "", "", VLOOKUP(Matching_Tb[[#This Row],[Comment]],Disclaimers!$A$3:$C$100, 3, 0))</f>
        <v/>
      </c>
    </row>
    <row r="100" customFormat="false" ht="14.25" hidden="false" customHeight="false" outlineLevel="0" collapsed="false">
      <c r="A100" s="129"/>
      <c r="B100" s="130" t="str">
        <f aca="false">IF('Matching Sheet'!B100 = "", "", 'Matching Sheet'!B100)</f>
        <v/>
      </c>
      <c r="C100" s="131" t="str">
        <f aca="false">IF('Matching Sheet'!C100 = "", "", 'Matching Sheet'!C100)</f>
        <v/>
      </c>
      <c r="D100" s="131" t="str">
        <f aca="false">IF('Matching Sheet'!D100 = "", "", 'Matching Sheet'!D100)</f>
        <v/>
      </c>
      <c r="E100" s="131" t="str">
        <f aca="false">IF('Matching Sheet'!E100 = "", "", 'Matching Sheet'!E100)</f>
        <v/>
      </c>
      <c r="F100" s="131" t="str">
        <f aca="false">IF(Matching_Tb[[#This Row],[CMT  Set-up]] = "", "", Matching_Tb[[#This Row],[CMT  Set-up]])</f>
        <v/>
      </c>
      <c r="G100" s="132" t="str">
        <f aca="false">IF(Matching_Tb[[#This Row],[Start date]] = "", "", Matching_Tb[[#This Row],[Start date]])</f>
        <v/>
      </c>
      <c r="H100" s="132" t="str">
        <f aca="false">IF(Matching_Tb[[#This Row],[End date]] = "", "", Matching_Tb[[#This Row],[End date]])</f>
        <v/>
      </c>
      <c r="I100" s="133" t="str">
        <f aca="false">IF(Matching_Tb[[#This Row],[Competitor URL]] = "", "", HYPERLINK(Matching_Tb[[#This Row],[Competitor URL]], "Link"))</f>
        <v/>
      </c>
      <c r="J100" s="134" t="str">
        <f aca="false">IF(Retail_Tb[[#This Row],[MKPL]] = "", "", IF(Matching_Tb[[#This Row],[Promo code]] = "", "N/A", Matching_Tb[[#This Row],[Promo code]]))</f>
        <v/>
      </c>
      <c r="K100" s="131" t="str">
        <f aca="false">IF(Matching_Tb[[#This Row],[Offer Details]] = "", "", Matching_Tb[[#This Row],[Offer Details]])</f>
        <v/>
      </c>
      <c r="L100" s="135" t="str">
        <f aca="false">IF(Matching_Tb[[#This Row],[TT Link]] = "", "", IF(Matching_Tb[[#This Row],[Can be matched ? ]] = "No", "", HYPERLINK(Matching_Tb[[#This Row],[TT Link]], "Link")))</f>
        <v/>
      </c>
      <c r="M100" s="136" t="str">
        <f aca="false">IF(Matching_Tb[[#This Row],[Comment]] = "", "", VLOOKUP(Matching_Tb[[#This Row],[Comment]],Disclaimers!$A$3:$C$100, 3, 0))</f>
        <v/>
      </c>
    </row>
  </sheetData>
  <sheetProtection sheet="true" objects="true" scenarios="true" autoFilter="false"/>
  <conditionalFormatting sqref="M2">
    <cfRule type="containsText" priority="2" operator="containsText" aboveAverage="0" equalAverage="0" bottom="0" percent="0" rank="0" text="Matched" dxfId="133">
      <formula>NOT(ISERROR(SEARCH("Matched",M2)))</formula>
    </cfRule>
    <cfRule type="containsText" priority="3" operator="containsText" aboveAverage="0" equalAverage="0" bottom="0" percent="0" rank="0" text="Mached" dxfId="134">
      <formula>NOT(ISERROR(SEARCH("Mached",M2)))</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tableParts>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N100"/>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A8" activeCellId="0" sqref="4:8"/>
    </sheetView>
  </sheetViews>
  <sheetFormatPr defaultColWidth="8.72265625" defaultRowHeight="14.25" zeroHeight="false" outlineLevelRow="0" outlineLevelCol="0"/>
  <cols>
    <col collapsed="false" customWidth="true" hidden="false" outlineLevel="0" max="1" min="1" style="26" width="11.72"/>
    <col collapsed="false" customWidth="true" hidden="false" outlineLevel="0" max="2" min="2" style="26" width="13.36"/>
    <col collapsed="false" customWidth="true" hidden="false" outlineLevel="0" max="3" min="3" style="26" width="11"/>
    <col collapsed="false" customWidth="true" hidden="false" outlineLevel="0" max="4" min="4" style="26" width="12.27"/>
    <col collapsed="false" customWidth="true" hidden="false" outlineLevel="0" max="5" min="5" style="26" width="17.83"/>
    <col collapsed="false" customWidth="true" hidden="false" outlineLevel="0" max="6" min="6" style="26" width="25.54"/>
    <col collapsed="false" customWidth="true" hidden="false" outlineLevel="0" max="7" min="7" style="27" width="13.72"/>
    <col collapsed="false" customWidth="true" hidden="false" outlineLevel="0" max="8" min="8" style="27" width="12.82"/>
    <col collapsed="false" customWidth="true" hidden="false" outlineLevel="0" max="9" min="9" style="26" width="16.09"/>
    <col collapsed="false" customWidth="true" hidden="false" outlineLevel="0" max="10" min="10" style="26" width="18.28"/>
    <col collapsed="false" customWidth="true" hidden="false" outlineLevel="0" max="11" min="11" style="26" width="15.89"/>
    <col collapsed="false" customWidth="true" hidden="false" outlineLevel="0" max="12" min="12" style="26" width="11.17"/>
    <col collapsed="false" customWidth="true" hidden="false" outlineLevel="0" max="13" min="13" style="26" width="18.18"/>
    <col collapsed="false" customWidth="true" hidden="false" outlineLevel="0" max="14" min="14" style="26" width="54.45"/>
    <col collapsed="false" customWidth="true" hidden="true" outlineLevel="0" max="34" min="15" style="28" width="9.14"/>
    <col collapsed="false" customWidth="false" hidden="true" outlineLevel="0" max="1024" min="35" style="28" width="8.72"/>
  </cols>
  <sheetData>
    <row r="1" s="29" customFormat="true" ht="45" hidden="false" customHeight="true" outlineLevel="0" collapsed="false">
      <c r="G1" s="30"/>
      <c r="H1" s="30"/>
    </row>
    <row r="2" customFormat="false" ht="25.5" hidden="false" customHeight="false" outlineLevel="0" collapsed="false">
      <c r="A2" s="31" t="s">
        <v>1</v>
      </c>
      <c r="B2" s="31" t="s">
        <v>96</v>
      </c>
      <c r="C2" s="31" t="s">
        <v>97</v>
      </c>
      <c r="D2" s="31" t="s">
        <v>98</v>
      </c>
      <c r="E2" s="31" t="s">
        <v>2590</v>
      </c>
      <c r="F2" s="33" t="s">
        <v>100</v>
      </c>
      <c r="G2" s="33" t="s">
        <v>101</v>
      </c>
      <c r="H2" s="31" t="s">
        <v>4</v>
      </c>
      <c r="I2" s="31" t="s">
        <v>102</v>
      </c>
      <c r="J2" s="31" t="s">
        <v>103</v>
      </c>
      <c r="K2" s="31" t="s">
        <v>104</v>
      </c>
      <c r="L2" s="31" t="s">
        <v>105</v>
      </c>
      <c r="M2" s="31" t="s">
        <v>107</v>
      </c>
      <c r="N2" s="31" t="s">
        <v>2592</v>
      </c>
    </row>
    <row r="3" customFormat="false" ht="14.25" hidden="false" customHeight="false" outlineLevel="0" collapsed="false">
      <c r="A3" s="38" t="str">
        <f aca="false">IF(Matching_Tb[[#This Row],[MKPL]] = "", "", Matching_Tb[[#This Row],[MKPL]])</f>
        <v>DE</v>
      </c>
      <c r="B3" s="26" t="str">
        <f aca="false">IF(Matching_Tb[[#This Row],[PL]] = "", "", Matching_Tb[[#This Row],[PL]])</f>
        <v>Hardlines</v>
      </c>
      <c r="C3" s="38" t="str">
        <f aca="false">IF(Matching_Tb[[#This Row],[GL]] = "", "", Matching_Tb[[#This Row],[GL]])</f>
        <v>Toys</v>
      </c>
      <c r="D3" s="26" t="str">
        <f aca="false">IF(Matching_Tb[[#This Row],[Competitor Name]] = "", "", Matching_Tb[[#This Row],[Competitor Name]])</f>
        <v>MyToys</v>
      </c>
      <c r="E3" s="26" t="str">
        <f aca="false">IF(Matching_Tb[[#This Row],[CMT  Set-up]] = "", "", Matching_Tb[[#This Row],[CMT  Set-up]])</f>
        <v>ST</v>
      </c>
      <c r="F3" s="27" t="n">
        <f aca="false">IF(Matching_Tb[[#This Row],[Start date]] = "", "", Matching_Tb[[#This Row],[Start date]])</f>
        <v>44768</v>
      </c>
      <c r="G3" s="27" t="n">
        <f aca="false">IF(Matching_Tb[[#This Row],[End date]] = "", "", Matching_Tb[[#This Row],[End date]])</f>
        <v>44774</v>
      </c>
      <c r="H3" s="51" t="str">
        <f aca="false">IF(Matching_Tb[[#This Row],[Competitor URL]] = "", "", Matching_Tb[[#This Row],[Competitor URL]])</f>
        <v>https://www.mytoys.de/spielzeug-spiele/playmobil-novelmore/playmobil-sub/</v>
      </c>
      <c r="I3" s="26" t="str">
        <f aca="false">IF(Site_Content[[#This Row],[Competitor Name]] = "", "", IF(Matching_Tb[[#This Row],[Promo code]]="", "N/A", Matching_Tb[[#This Row],[Promo code]]))</f>
        <v>PLAYNOV20</v>
      </c>
      <c r="J3" s="26" t="str">
        <f aca="false">IF(Matching_Tb[[#This Row],[Offer Details]] = "", "", Matching_Tb[[#This Row],[Offer Details]])</f>
        <v>20% Extra-Rabatt auf Artikel der Marke PLAYMOBIL® Novelmore für Ihren Einkauf bei myToys </v>
      </c>
      <c r="K3" s="45" t="str">
        <f aca="false">IF(Matching_Tb[[#This Row],[TT Link]]="", "", IF(Matching_Tb[[#This Row],[Can be matched ? ]] = "No", "", Matching_Tb[[#This Row],[TT Link]]))</f>
        <v>https://t.corp.amazon.com/P68478343</v>
      </c>
      <c r="L3" s="26" t="str">
        <f aca="false">IF(Matching_Tb[[#This Row],[Can be matched ? ]] = "", "", Matching_Tb[[#This Row],[Can be matched ? ]])</f>
        <v>Yes</v>
      </c>
      <c r="M3" s="41" t="str">
        <f aca="false">IF(Matching_Tb[[#This Row],[Rebate type]] = "", "", Matching_Tb[[#This Row],[Rebate type]])</f>
        <v>Coupon</v>
      </c>
      <c r="N3" s="26" t="str">
        <f aca="false">IF('Matching Sheet'!P3="", "", (IF(Site_Content[[#This Row],[Can be matched ? ]]="Yes", "Matched", Matching_Tb[[#This Row],[Comment]])))</f>
        <v>Matched</v>
      </c>
    </row>
    <row r="4" customFormat="false" ht="13.8" hidden="false" customHeight="false" outlineLevel="0" collapsed="false">
      <c r="A4" s="38"/>
      <c r="C4" s="38"/>
      <c r="F4" s="27"/>
      <c r="H4" s="51"/>
      <c r="K4" s="45"/>
      <c r="M4" s="41"/>
    </row>
    <row r="5" customFormat="false" ht="13.8" hidden="false" customHeight="false" outlineLevel="0" collapsed="false">
      <c r="A5" s="38"/>
      <c r="C5" s="38"/>
      <c r="F5" s="27"/>
      <c r="H5" s="51"/>
      <c r="K5" s="45"/>
      <c r="M5" s="41"/>
    </row>
    <row r="6" customFormat="false" ht="13.8" hidden="false" customHeight="false" outlineLevel="0" collapsed="false">
      <c r="A6" s="38"/>
      <c r="C6" s="38"/>
      <c r="F6" s="27"/>
      <c r="H6" s="51"/>
      <c r="K6" s="45"/>
      <c r="M6" s="41"/>
    </row>
    <row r="7" customFormat="false" ht="13.8" hidden="false" customHeight="false" outlineLevel="0" collapsed="false">
      <c r="A7" s="38"/>
      <c r="C7" s="38"/>
      <c r="F7" s="27"/>
      <c r="H7" s="51"/>
      <c r="K7" s="45"/>
      <c r="M7" s="41"/>
    </row>
    <row r="8" customFormat="false" ht="13.8" hidden="false" customHeight="false" outlineLevel="0" collapsed="false">
      <c r="A8" s="38"/>
      <c r="C8" s="38"/>
      <c r="F8" s="27"/>
      <c r="H8" s="51"/>
      <c r="K8" s="45"/>
      <c r="M8" s="41"/>
    </row>
    <row r="9" customFormat="false" ht="14.25" hidden="false" customHeight="false" outlineLevel="0" collapsed="false">
      <c r="A9" s="38"/>
      <c r="C9" s="38"/>
      <c r="F9" s="27"/>
      <c r="H9" s="51"/>
      <c r="K9" s="45"/>
      <c r="M9" s="41"/>
    </row>
    <row r="10" customFormat="false" ht="14.25" hidden="false" customHeight="false" outlineLevel="0" collapsed="false">
      <c r="A10" s="38" t="str">
        <f aca="false">IF(Matching_Tb[[#This Row],[MKPL]] = "", "", Matching_Tb[[#This Row],[MKPL]])</f>
        <v/>
      </c>
      <c r="B10" s="26" t="str">
        <f aca="false">IF(Matching_Tb[[#This Row],[PL]] = "", "", Matching_Tb[[#This Row],[PL]])</f>
        <v/>
      </c>
      <c r="C10" s="38" t="str">
        <f aca="false">IF(Matching_Tb[[#This Row],[GL]] = "", "", Matching_Tb[[#This Row],[GL]])</f>
        <v/>
      </c>
      <c r="D10" s="26" t="str">
        <f aca="false">IF(Matching_Tb[[#This Row],[Competitor Name]] = "", "", Matching_Tb[[#This Row],[Competitor Name]])</f>
        <v/>
      </c>
      <c r="E10" s="26" t="str">
        <f aca="false">IF(Matching_Tb[[#This Row],[CMT  Set-up]] = "", "", Matching_Tb[[#This Row],[CMT  Set-up]])</f>
        <v/>
      </c>
      <c r="F10" s="27" t="str">
        <f aca="false">IF(Matching_Tb[[#This Row],[Start date]] = "", "", Matching_Tb[[#This Row],[Start date]])</f>
        <v/>
      </c>
      <c r="G10" s="27" t="str">
        <f aca="false">IF(Matching_Tb[[#This Row],[End date]] = "", "", Matching_Tb[[#This Row],[End date]])</f>
        <v/>
      </c>
      <c r="H10" s="51" t="str">
        <f aca="false">IF(Matching_Tb[[#This Row],[Competitor URL]] = "", "", Matching_Tb[[#This Row],[Competitor URL]])</f>
        <v/>
      </c>
      <c r="I10" s="26" t="str">
        <f aca="false">IF(Site_Content[[#This Row],[Competitor Name]] = "", "", IF(Matching_Tb[[#This Row],[Promo code]]="", "N/A", Matching_Tb[[#This Row],[Promo code]]))</f>
        <v/>
      </c>
      <c r="J10" s="26" t="str">
        <f aca="false">IF(Matching_Tb[[#This Row],[Offer Details]] = "", "", Matching_Tb[[#This Row],[Offer Details]])</f>
        <v/>
      </c>
      <c r="K10" s="45" t="str">
        <f aca="false">IF(Matching_Tb[[#This Row],[TT Link]]="", "", IF(Matching_Tb[[#This Row],[Can be matched ? ]] = "No", "", Matching_Tb[[#This Row],[TT Link]]))</f>
        <v/>
      </c>
      <c r="L10" s="26" t="str">
        <f aca="false">IF(Matching_Tb[[#This Row],[Can be matched ? ]] = "", "", Matching_Tb[[#This Row],[Can be matched ? ]])</f>
        <v/>
      </c>
      <c r="M10" s="41" t="str">
        <f aca="false">IF(Matching_Tb[[#This Row],[Rebate type]] = "", "", Matching_Tb[[#This Row],[Rebate type]])</f>
        <v/>
      </c>
      <c r="N10" s="26" t="str">
        <f aca="false">IF('Matching Sheet'!P10="", "", (IF(Site_Content[[#This Row],[Can be matched ? ]]="Yes", "Matched", Matching_Tb[[#This Row],[Comment]])))</f>
        <v/>
      </c>
    </row>
    <row r="11" customFormat="false" ht="14.25" hidden="false" customHeight="false" outlineLevel="0" collapsed="false">
      <c r="A11" s="38" t="str">
        <f aca="false">IF(Matching_Tb[[#This Row],[MKPL]] = "", "", Matching_Tb[[#This Row],[MKPL]])</f>
        <v/>
      </c>
      <c r="B11" s="26" t="str">
        <f aca="false">IF(Matching_Tb[[#This Row],[PL]] = "", "", Matching_Tb[[#This Row],[PL]])</f>
        <v/>
      </c>
      <c r="C11" s="38" t="str">
        <f aca="false">IF(Matching_Tb[[#This Row],[GL]] = "", "", Matching_Tb[[#This Row],[GL]])</f>
        <v/>
      </c>
      <c r="D11" s="26" t="str">
        <f aca="false">IF(Matching_Tb[[#This Row],[Competitor Name]] = "", "", Matching_Tb[[#This Row],[Competitor Name]])</f>
        <v/>
      </c>
      <c r="E11" s="26" t="str">
        <f aca="false">IF(Matching_Tb[[#This Row],[CMT  Set-up]] = "", "", Matching_Tb[[#This Row],[CMT  Set-up]])</f>
        <v/>
      </c>
      <c r="F11" s="27" t="str">
        <f aca="false">IF(Matching_Tb[[#This Row],[Start date]] = "", "", Matching_Tb[[#This Row],[Start date]])</f>
        <v/>
      </c>
      <c r="G11" s="27" t="str">
        <f aca="false">IF(Matching_Tb[[#This Row],[End date]] = "", "", Matching_Tb[[#This Row],[End date]])</f>
        <v/>
      </c>
      <c r="H11" s="51" t="str">
        <f aca="false">IF(Matching_Tb[[#This Row],[Competitor URL]] = "", "", Matching_Tb[[#This Row],[Competitor URL]])</f>
        <v/>
      </c>
      <c r="I11" s="26" t="str">
        <f aca="false">IF(Site_Content[[#This Row],[Competitor Name]] = "", "", IF(Matching_Tb[[#This Row],[Promo code]]="", "N/A", Matching_Tb[[#This Row],[Promo code]]))</f>
        <v/>
      </c>
      <c r="J11" s="26" t="str">
        <f aca="false">IF(Matching_Tb[[#This Row],[Offer Details]] = "", "", Matching_Tb[[#This Row],[Offer Details]])</f>
        <v/>
      </c>
      <c r="K11" s="45" t="str">
        <f aca="false">IF(Matching_Tb[[#This Row],[TT Link]]="", "", IF(Matching_Tb[[#This Row],[Can be matched ? ]] = "No", "", Matching_Tb[[#This Row],[TT Link]]))</f>
        <v/>
      </c>
      <c r="L11" s="26" t="str">
        <f aca="false">IF(Matching_Tb[[#This Row],[Can be matched ? ]] = "", "", Matching_Tb[[#This Row],[Can be matched ? ]])</f>
        <v/>
      </c>
      <c r="M11" s="41" t="str">
        <f aca="false">IF(Matching_Tb[[#This Row],[Rebate type]] = "", "", Matching_Tb[[#This Row],[Rebate type]])</f>
        <v/>
      </c>
      <c r="N11" s="26" t="str">
        <f aca="false">IF('Matching Sheet'!P11="", "", (IF(Site_Content[[#This Row],[Can be matched ? ]]="Yes", "Matched", Matching_Tb[[#This Row],[Comment]])))</f>
        <v/>
      </c>
    </row>
    <row r="12" customFormat="false" ht="14.25" hidden="false" customHeight="false" outlineLevel="0" collapsed="false">
      <c r="A12" s="38" t="str">
        <f aca="false">IF(Matching_Tb[[#This Row],[MKPL]] = "", "", Matching_Tb[[#This Row],[MKPL]])</f>
        <v/>
      </c>
      <c r="B12" s="26" t="str">
        <f aca="false">IF(Matching_Tb[[#This Row],[PL]] = "", "", Matching_Tb[[#This Row],[PL]])</f>
        <v/>
      </c>
      <c r="C12" s="38" t="str">
        <f aca="false">IF(Matching_Tb[[#This Row],[GL]] = "", "", Matching_Tb[[#This Row],[GL]])</f>
        <v/>
      </c>
      <c r="D12" s="26" t="str">
        <f aca="false">IF(Matching_Tb[[#This Row],[Competitor Name]] = "", "", Matching_Tb[[#This Row],[Competitor Name]])</f>
        <v/>
      </c>
      <c r="E12" s="26" t="str">
        <f aca="false">IF(Matching_Tb[[#This Row],[CMT  Set-up]] = "", "", Matching_Tb[[#This Row],[CMT  Set-up]])</f>
        <v/>
      </c>
      <c r="F12" s="27" t="str">
        <f aca="false">IF(Matching_Tb[[#This Row],[Start date]] = "", "", Matching_Tb[[#This Row],[Start date]])</f>
        <v/>
      </c>
      <c r="G12" s="27" t="str">
        <f aca="false">IF(Matching_Tb[[#This Row],[End date]] = "", "", Matching_Tb[[#This Row],[End date]])</f>
        <v/>
      </c>
      <c r="H12" s="51" t="str">
        <f aca="false">IF(Matching_Tb[[#This Row],[Competitor URL]] = "", "", Matching_Tb[[#This Row],[Competitor URL]])</f>
        <v/>
      </c>
      <c r="I12" s="26" t="str">
        <f aca="false">IF(Site_Content[[#This Row],[Competitor Name]] = "", "", IF(Matching_Tb[[#This Row],[Promo code]]="", "N/A", Matching_Tb[[#This Row],[Promo code]]))</f>
        <v/>
      </c>
      <c r="J12" s="26" t="str">
        <f aca="false">IF(Matching_Tb[[#This Row],[Offer Details]] = "", "", Matching_Tb[[#This Row],[Offer Details]])</f>
        <v/>
      </c>
      <c r="K12" s="45" t="str">
        <f aca="false">IF(Matching_Tb[[#This Row],[TT Link]]="", "", IF(Matching_Tb[[#This Row],[Can be matched ? ]] = "No", "", Matching_Tb[[#This Row],[TT Link]]))</f>
        <v/>
      </c>
      <c r="L12" s="26" t="str">
        <f aca="false">IF(Matching_Tb[[#This Row],[Can be matched ? ]] = "", "", Matching_Tb[[#This Row],[Can be matched ? ]])</f>
        <v/>
      </c>
      <c r="M12" s="41" t="str">
        <f aca="false">IF(Matching_Tb[[#This Row],[Rebate type]] = "", "", Matching_Tb[[#This Row],[Rebate type]])</f>
        <v/>
      </c>
      <c r="N12" s="26" t="str">
        <f aca="false">IF('Matching Sheet'!P12="", "", (IF(Site_Content[[#This Row],[Can be matched ? ]]="Yes", "Matched", Matching_Tb[[#This Row],[Comment]])))</f>
        <v/>
      </c>
    </row>
    <row r="13" customFormat="false" ht="14.25" hidden="false" customHeight="false" outlineLevel="0" collapsed="false">
      <c r="A13" s="38" t="str">
        <f aca="false">IF(Matching_Tb[[#This Row],[MKPL]] = "", "", Matching_Tb[[#This Row],[MKPL]])</f>
        <v/>
      </c>
      <c r="B13" s="26" t="str">
        <f aca="false">IF(Matching_Tb[[#This Row],[PL]] = "", "", Matching_Tb[[#This Row],[PL]])</f>
        <v/>
      </c>
      <c r="C13" s="38" t="str">
        <f aca="false">IF(Matching_Tb[[#This Row],[GL]] = "", "", Matching_Tb[[#This Row],[GL]])</f>
        <v/>
      </c>
      <c r="D13" s="26" t="str">
        <f aca="false">IF(Matching_Tb[[#This Row],[Competitor Name]] = "", "", Matching_Tb[[#This Row],[Competitor Name]])</f>
        <v/>
      </c>
      <c r="E13" s="26" t="str">
        <f aca="false">IF(Matching_Tb[[#This Row],[CMT  Set-up]] = "", "", Matching_Tb[[#This Row],[CMT  Set-up]])</f>
        <v/>
      </c>
      <c r="F13" s="27" t="str">
        <f aca="false">IF(Matching_Tb[[#This Row],[Start date]] = "", "", Matching_Tb[[#This Row],[Start date]])</f>
        <v/>
      </c>
      <c r="G13" s="27" t="str">
        <f aca="false">IF(Matching_Tb[[#This Row],[End date]] = "", "", Matching_Tb[[#This Row],[End date]])</f>
        <v/>
      </c>
      <c r="H13" s="51" t="str">
        <f aca="false">IF(Matching_Tb[[#This Row],[Competitor URL]] = "", "", Matching_Tb[[#This Row],[Competitor URL]])</f>
        <v/>
      </c>
      <c r="I13" s="26" t="str">
        <f aca="false">IF(Site_Content[[#This Row],[Competitor Name]] = "", "", IF(Matching_Tb[[#This Row],[Promo code]]="", "N/A", Matching_Tb[[#This Row],[Promo code]]))</f>
        <v/>
      </c>
      <c r="J13" s="26" t="str">
        <f aca="false">IF(Matching_Tb[[#This Row],[Offer Details]] = "", "", Matching_Tb[[#This Row],[Offer Details]])</f>
        <v/>
      </c>
      <c r="K13" s="45" t="str">
        <f aca="false">IF(Matching_Tb[[#This Row],[TT Link]]="", "", IF(Matching_Tb[[#This Row],[Can be matched ? ]] = "No", "", Matching_Tb[[#This Row],[TT Link]]))</f>
        <v/>
      </c>
      <c r="L13" s="26" t="str">
        <f aca="false">IF(Matching_Tb[[#This Row],[Can be matched ? ]] = "", "", Matching_Tb[[#This Row],[Can be matched ? ]])</f>
        <v/>
      </c>
      <c r="M13" s="41" t="str">
        <f aca="false">IF(Matching_Tb[[#This Row],[Rebate type]] = "", "", Matching_Tb[[#This Row],[Rebate type]])</f>
        <v/>
      </c>
      <c r="N13" s="26" t="str">
        <f aca="false">IF('Matching Sheet'!P13="", "", (IF(Site_Content[[#This Row],[Can be matched ? ]]="Yes", "Matched", Matching_Tb[[#This Row],[Comment]])))</f>
        <v/>
      </c>
    </row>
    <row r="14" customFormat="false" ht="14.25" hidden="false" customHeight="false" outlineLevel="0" collapsed="false">
      <c r="A14" s="38" t="str">
        <f aca="false">IF(Matching_Tb[[#This Row],[MKPL]] = "", "", Matching_Tb[[#This Row],[MKPL]])</f>
        <v/>
      </c>
      <c r="B14" s="26" t="str">
        <f aca="false">IF(Matching_Tb[[#This Row],[PL]] = "", "", Matching_Tb[[#This Row],[PL]])</f>
        <v/>
      </c>
      <c r="C14" s="38" t="str">
        <f aca="false">IF(Matching_Tb[[#This Row],[GL]] = "", "", Matching_Tb[[#This Row],[GL]])</f>
        <v/>
      </c>
      <c r="D14" s="26" t="str">
        <f aca="false">IF(Matching_Tb[[#This Row],[Competitor Name]] = "", "", Matching_Tb[[#This Row],[Competitor Name]])</f>
        <v/>
      </c>
      <c r="E14" s="26" t="str">
        <f aca="false">IF(Matching_Tb[[#This Row],[CMT  Set-up]] = "", "", Matching_Tb[[#This Row],[CMT  Set-up]])</f>
        <v/>
      </c>
      <c r="F14" s="27" t="str">
        <f aca="false">IF(Matching_Tb[[#This Row],[Start date]] = "", "", Matching_Tb[[#This Row],[Start date]])</f>
        <v/>
      </c>
      <c r="G14" s="27" t="str">
        <f aca="false">IF(Matching_Tb[[#This Row],[End date]] = "", "", Matching_Tb[[#This Row],[End date]])</f>
        <v/>
      </c>
      <c r="H14" s="51" t="str">
        <f aca="false">IF(Matching_Tb[[#This Row],[Competitor URL]] = "", "", Matching_Tb[[#This Row],[Competitor URL]])</f>
        <v/>
      </c>
      <c r="I14" s="26" t="str">
        <f aca="false">IF(Site_Content[[#This Row],[Competitor Name]] = "", "", IF(Matching_Tb[[#This Row],[Promo code]]="", "N/A", Matching_Tb[[#This Row],[Promo code]]))</f>
        <v/>
      </c>
      <c r="J14" s="26" t="str">
        <f aca="false">IF(Matching_Tb[[#This Row],[Offer Details]] = "", "", Matching_Tb[[#This Row],[Offer Details]])</f>
        <v/>
      </c>
      <c r="K14" s="45" t="str">
        <f aca="false">IF(Matching_Tb[[#This Row],[TT Link]]="", "", IF(Matching_Tb[[#This Row],[Can be matched ? ]] = "No", "", Matching_Tb[[#This Row],[TT Link]]))</f>
        <v/>
      </c>
      <c r="L14" s="26" t="str">
        <f aca="false">IF(Matching_Tb[[#This Row],[Can be matched ? ]] = "", "", Matching_Tb[[#This Row],[Can be matched ? ]])</f>
        <v/>
      </c>
      <c r="M14" s="41" t="str">
        <f aca="false">IF(Matching_Tb[[#This Row],[Rebate type]] = "", "", Matching_Tb[[#This Row],[Rebate type]])</f>
        <v/>
      </c>
      <c r="N14" s="26" t="str">
        <f aca="false">IF('Matching Sheet'!P14="", "", (IF(Site_Content[[#This Row],[Can be matched ? ]]="Yes", "Matched", Matching_Tb[[#This Row],[Comment]])))</f>
        <v/>
      </c>
    </row>
    <row r="15" customFormat="false" ht="14.25" hidden="false" customHeight="false" outlineLevel="0" collapsed="false">
      <c r="A15" s="38" t="str">
        <f aca="false">IF(Matching_Tb[[#This Row],[MKPL]] = "", "", Matching_Tb[[#This Row],[MKPL]])</f>
        <v/>
      </c>
      <c r="B15" s="26" t="str">
        <f aca="false">IF(Matching_Tb[[#This Row],[PL]] = "", "", Matching_Tb[[#This Row],[PL]])</f>
        <v/>
      </c>
      <c r="C15" s="38" t="str">
        <f aca="false">IF(Matching_Tb[[#This Row],[GL]] = "", "", Matching_Tb[[#This Row],[GL]])</f>
        <v/>
      </c>
      <c r="D15" s="26" t="str">
        <f aca="false">IF(Matching_Tb[[#This Row],[Competitor Name]] = "", "", Matching_Tb[[#This Row],[Competitor Name]])</f>
        <v/>
      </c>
      <c r="E15" s="26" t="str">
        <f aca="false">IF(Matching_Tb[[#This Row],[CMT  Set-up]] = "", "", Matching_Tb[[#This Row],[CMT  Set-up]])</f>
        <v/>
      </c>
      <c r="F15" s="27" t="str">
        <f aca="false">IF(Matching_Tb[[#This Row],[Start date]] = "", "", Matching_Tb[[#This Row],[Start date]])</f>
        <v/>
      </c>
      <c r="G15" s="27" t="str">
        <f aca="false">IF(Matching_Tb[[#This Row],[End date]] = "", "", Matching_Tb[[#This Row],[End date]])</f>
        <v/>
      </c>
      <c r="H15" s="51" t="str">
        <f aca="false">IF(Matching_Tb[[#This Row],[Competitor URL]] = "", "", Matching_Tb[[#This Row],[Competitor URL]])</f>
        <v/>
      </c>
      <c r="I15" s="26" t="str">
        <f aca="false">IF(Site_Content[[#This Row],[Competitor Name]] = "", "", IF(Matching_Tb[[#This Row],[Promo code]]="", "N/A", Matching_Tb[[#This Row],[Promo code]]))</f>
        <v/>
      </c>
      <c r="J15" s="26" t="str">
        <f aca="false">IF(Matching_Tb[[#This Row],[Offer Details]] = "", "", Matching_Tb[[#This Row],[Offer Details]])</f>
        <v/>
      </c>
      <c r="K15" s="45" t="str">
        <f aca="false">IF(Matching_Tb[[#This Row],[TT Link]]="", "", IF(Matching_Tb[[#This Row],[Can be matched ? ]] = "No", "", Matching_Tb[[#This Row],[TT Link]]))</f>
        <v/>
      </c>
      <c r="L15" s="26" t="str">
        <f aca="false">IF(Matching_Tb[[#This Row],[Can be matched ? ]] = "", "", Matching_Tb[[#This Row],[Can be matched ? ]])</f>
        <v/>
      </c>
      <c r="M15" s="41" t="str">
        <f aca="false">IF(Matching_Tb[[#This Row],[Rebate type]] = "", "", Matching_Tb[[#This Row],[Rebate type]])</f>
        <v/>
      </c>
      <c r="N15" s="26" t="str">
        <f aca="false">IF('Matching Sheet'!P15="", "", (IF(Site_Content[[#This Row],[Can be matched ? ]]="Yes", "Matched", Matching_Tb[[#This Row],[Comment]])))</f>
        <v/>
      </c>
    </row>
    <row r="16" customFormat="false" ht="14.25" hidden="false" customHeight="false" outlineLevel="0" collapsed="false">
      <c r="A16" s="38" t="str">
        <f aca="false">IF(Matching_Tb[[#This Row],[MKPL]] = "", "", Matching_Tb[[#This Row],[MKPL]])</f>
        <v/>
      </c>
      <c r="B16" s="26" t="str">
        <f aca="false">IF(Matching_Tb[[#This Row],[PL]] = "", "", Matching_Tb[[#This Row],[PL]])</f>
        <v/>
      </c>
      <c r="C16" s="38" t="str">
        <f aca="false">IF(Matching_Tb[[#This Row],[GL]] = "", "", Matching_Tb[[#This Row],[GL]])</f>
        <v/>
      </c>
      <c r="D16" s="26" t="str">
        <f aca="false">IF(Matching_Tb[[#This Row],[Competitor Name]] = "", "", Matching_Tb[[#This Row],[Competitor Name]])</f>
        <v/>
      </c>
      <c r="E16" s="26" t="str">
        <f aca="false">IF(Matching_Tb[[#This Row],[CMT  Set-up]] = "", "", Matching_Tb[[#This Row],[CMT  Set-up]])</f>
        <v/>
      </c>
      <c r="F16" s="27" t="str">
        <f aca="false">IF(Matching_Tb[[#This Row],[Start date]] = "", "", Matching_Tb[[#This Row],[Start date]])</f>
        <v/>
      </c>
      <c r="G16" s="27" t="str">
        <f aca="false">IF(Matching_Tb[[#This Row],[End date]] = "", "", Matching_Tb[[#This Row],[End date]])</f>
        <v/>
      </c>
      <c r="H16" s="51" t="str">
        <f aca="false">IF(Matching_Tb[[#This Row],[Competitor URL]] = "", "", Matching_Tb[[#This Row],[Competitor URL]])</f>
        <v/>
      </c>
      <c r="I16" s="26" t="str">
        <f aca="false">IF(Site_Content[[#This Row],[Competitor Name]] = "", "", IF(Matching_Tb[[#This Row],[Promo code]]="", "N/A", Matching_Tb[[#This Row],[Promo code]]))</f>
        <v/>
      </c>
      <c r="J16" s="26" t="str">
        <f aca="false">IF(Matching_Tb[[#This Row],[Offer Details]] = "", "", Matching_Tb[[#This Row],[Offer Details]])</f>
        <v/>
      </c>
      <c r="K16" s="45" t="str">
        <f aca="false">IF(Matching_Tb[[#This Row],[TT Link]]="", "", IF(Matching_Tb[[#This Row],[Can be matched ? ]] = "No", "", Matching_Tb[[#This Row],[TT Link]]))</f>
        <v/>
      </c>
      <c r="L16" s="26" t="str">
        <f aca="false">IF(Matching_Tb[[#This Row],[Can be matched ? ]] = "", "", Matching_Tb[[#This Row],[Can be matched ? ]])</f>
        <v/>
      </c>
      <c r="M16" s="41" t="str">
        <f aca="false">IF(Matching_Tb[[#This Row],[Rebate type]] = "", "", Matching_Tb[[#This Row],[Rebate type]])</f>
        <v/>
      </c>
      <c r="N16" s="26" t="str">
        <f aca="false">IF('Matching Sheet'!P16="", "", (IF(Site_Content[[#This Row],[Can be matched ? ]]="Yes", "Matched", Matching_Tb[[#This Row],[Comment]])))</f>
        <v/>
      </c>
    </row>
    <row r="17" customFormat="false" ht="14.25" hidden="false" customHeight="false" outlineLevel="0" collapsed="false">
      <c r="A17" s="38" t="str">
        <f aca="false">IF(Matching_Tb[[#This Row],[MKPL]] = "", "", Matching_Tb[[#This Row],[MKPL]])</f>
        <v/>
      </c>
      <c r="B17" s="26" t="str">
        <f aca="false">IF(Matching_Tb[[#This Row],[PL]] = "", "", Matching_Tb[[#This Row],[PL]])</f>
        <v/>
      </c>
      <c r="C17" s="38" t="str">
        <f aca="false">IF(Matching_Tb[[#This Row],[GL]] = "", "", Matching_Tb[[#This Row],[GL]])</f>
        <v/>
      </c>
      <c r="D17" s="26" t="str">
        <f aca="false">IF(Matching_Tb[[#This Row],[Competitor Name]] = "", "", Matching_Tb[[#This Row],[Competitor Name]])</f>
        <v/>
      </c>
      <c r="E17" s="26" t="str">
        <f aca="false">IF(Matching_Tb[[#This Row],[CMT  Set-up]] = "", "", Matching_Tb[[#This Row],[CMT  Set-up]])</f>
        <v/>
      </c>
      <c r="F17" s="27" t="str">
        <f aca="false">IF(Matching_Tb[[#This Row],[Start date]] = "", "", Matching_Tb[[#This Row],[Start date]])</f>
        <v/>
      </c>
      <c r="G17" s="27" t="str">
        <f aca="false">IF(Matching_Tb[[#This Row],[End date]] = "", "", Matching_Tb[[#This Row],[End date]])</f>
        <v/>
      </c>
      <c r="H17" s="51" t="str">
        <f aca="false">IF(Matching_Tb[[#This Row],[Competitor URL]] = "", "", Matching_Tb[[#This Row],[Competitor URL]])</f>
        <v/>
      </c>
      <c r="I17" s="26" t="str">
        <f aca="false">IF(Site_Content[[#This Row],[Competitor Name]] = "", "", IF(Matching_Tb[[#This Row],[Promo code]]="", "N/A", Matching_Tb[[#This Row],[Promo code]]))</f>
        <v/>
      </c>
      <c r="J17" s="26" t="str">
        <f aca="false">IF(Matching_Tb[[#This Row],[Offer Details]] = "", "", Matching_Tb[[#This Row],[Offer Details]])</f>
        <v/>
      </c>
      <c r="K17" s="45" t="str">
        <f aca="false">IF(Matching_Tb[[#This Row],[TT Link]]="", "", IF(Matching_Tb[[#This Row],[Can be matched ? ]] = "No", "", Matching_Tb[[#This Row],[TT Link]]))</f>
        <v/>
      </c>
      <c r="L17" s="26" t="str">
        <f aca="false">IF(Matching_Tb[[#This Row],[Can be matched ? ]] = "", "", Matching_Tb[[#This Row],[Can be matched ? ]])</f>
        <v/>
      </c>
      <c r="M17" s="41" t="str">
        <f aca="false">IF(Matching_Tb[[#This Row],[Rebate type]] = "", "", Matching_Tb[[#This Row],[Rebate type]])</f>
        <v/>
      </c>
      <c r="N17" s="26" t="str">
        <f aca="false">IF('Matching Sheet'!P17="", "", (IF(Site_Content[[#This Row],[Can be matched ? ]]="Yes", "Matched", Matching_Tb[[#This Row],[Comment]])))</f>
        <v/>
      </c>
    </row>
    <row r="18" customFormat="false" ht="14.25" hidden="false" customHeight="false" outlineLevel="0" collapsed="false">
      <c r="A18" s="38" t="str">
        <f aca="false">IF(Matching_Tb[[#This Row],[MKPL]] = "", "", Matching_Tb[[#This Row],[MKPL]])</f>
        <v/>
      </c>
      <c r="B18" s="26" t="str">
        <f aca="false">IF(Matching_Tb[[#This Row],[PL]] = "", "", Matching_Tb[[#This Row],[PL]])</f>
        <v/>
      </c>
      <c r="C18" s="38" t="str">
        <f aca="false">IF(Matching_Tb[[#This Row],[GL]] = "", "", Matching_Tb[[#This Row],[GL]])</f>
        <v/>
      </c>
      <c r="D18" s="26" t="str">
        <f aca="false">IF(Matching_Tb[[#This Row],[Competitor Name]] = "", "", Matching_Tb[[#This Row],[Competitor Name]])</f>
        <v/>
      </c>
      <c r="E18" s="26" t="str">
        <f aca="false">IF(Matching_Tb[[#This Row],[CMT  Set-up]] = "", "", Matching_Tb[[#This Row],[CMT  Set-up]])</f>
        <v/>
      </c>
      <c r="F18" s="27" t="str">
        <f aca="false">IF(Matching_Tb[[#This Row],[Start date]] = "", "", Matching_Tb[[#This Row],[Start date]])</f>
        <v/>
      </c>
      <c r="G18" s="27" t="str">
        <f aca="false">IF(Matching_Tb[[#This Row],[End date]] = "", "", Matching_Tb[[#This Row],[End date]])</f>
        <v/>
      </c>
      <c r="H18" s="51" t="str">
        <f aca="false">IF(Matching_Tb[[#This Row],[Competitor URL]] = "", "", Matching_Tb[[#This Row],[Competitor URL]])</f>
        <v/>
      </c>
      <c r="I18" s="26" t="str">
        <f aca="false">IF(Site_Content[[#This Row],[Competitor Name]] = "", "", IF(Matching_Tb[[#This Row],[Promo code]]="", "N/A", Matching_Tb[[#This Row],[Promo code]]))</f>
        <v/>
      </c>
      <c r="J18" s="26" t="str">
        <f aca="false">IF(Matching_Tb[[#This Row],[Offer Details]] = "", "", Matching_Tb[[#This Row],[Offer Details]])</f>
        <v/>
      </c>
      <c r="K18" s="45" t="str">
        <f aca="false">IF(Matching_Tb[[#This Row],[TT Link]]="", "", IF(Matching_Tb[[#This Row],[Can be matched ? ]] = "No", "", Matching_Tb[[#This Row],[TT Link]]))</f>
        <v/>
      </c>
      <c r="L18" s="26" t="str">
        <f aca="false">IF(Matching_Tb[[#This Row],[Can be matched ? ]] = "", "", Matching_Tb[[#This Row],[Can be matched ? ]])</f>
        <v/>
      </c>
      <c r="M18" s="41" t="str">
        <f aca="false">IF(Matching_Tb[[#This Row],[Rebate type]] = "", "", Matching_Tb[[#This Row],[Rebate type]])</f>
        <v/>
      </c>
      <c r="N18" s="26" t="str">
        <f aca="false">IF('Matching Sheet'!P18="", "", (IF(Site_Content[[#This Row],[Can be matched ? ]]="Yes", "Matched", Matching_Tb[[#This Row],[Comment]])))</f>
        <v/>
      </c>
    </row>
    <row r="19" customFormat="false" ht="14.25" hidden="false" customHeight="false" outlineLevel="0" collapsed="false">
      <c r="A19" s="38" t="str">
        <f aca="false">IF(Matching_Tb[[#This Row],[MKPL]] = "", "", Matching_Tb[[#This Row],[MKPL]])</f>
        <v/>
      </c>
      <c r="B19" s="26" t="str">
        <f aca="false">IF(Matching_Tb[[#This Row],[PL]] = "", "", Matching_Tb[[#This Row],[PL]])</f>
        <v/>
      </c>
      <c r="C19" s="38" t="str">
        <f aca="false">IF(Matching_Tb[[#This Row],[GL]] = "", "", Matching_Tb[[#This Row],[GL]])</f>
        <v/>
      </c>
      <c r="D19" s="26" t="str">
        <f aca="false">IF(Matching_Tb[[#This Row],[Competitor Name]] = "", "", Matching_Tb[[#This Row],[Competitor Name]])</f>
        <v/>
      </c>
      <c r="E19" s="26" t="str">
        <f aca="false">IF(Matching_Tb[[#This Row],[CMT  Set-up]] = "", "", Matching_Tb[[#This Row],[CMT  Set-up]])</f>
        <v/>
      </c>
      <c r="F19" s="27" t="str">
        <f aca="false">IF(Matching_Tb[[#This Row],[Start date]] = "", "", Matching_Tb[[#This Row],[Start date]])</f>
        <v/>
      </c>
      <c r="G19" s="27" t="str">
        <f aca="false">IF(Matching_Tb[[#This Row],[End date]] = "", "", Matching_Tb[[#This Row],[End date]])</f>
        <v/>
      </c>
      <c r="H19" s="51" t="str">
        <f aca="false">IF(Matching_Tb[[#This Row],[Competitor URL]] = "", "", Matching_Tb[[#This Row],[Competitor URL]])</f>
        <v/>
      </c>
      <c r="I19" s="26" t="str">
        <f aca="false">IF(Site_Content[[#This Row],[Competitor Name]] = "", "", IF(Matching_Tb[[#This Row],[Promo code]]="", "N/A", Matching_Tb[[#This Row],[Promo code]]))</f>
        <v/>
      </c>
      <c r="J19" s="26" t="str">
        <f aca="false">IF(Matching_Tb[[#This Row],[Offer Details]] = "", "", Matching_Tb[[#This Row],[Offer Details]])</f>
        <v/>
      </c>
      <c r="K19" s="45" t="str">
        <f aca="false">IF(Matching_Tb[[#This Row],[TT Link]]="", "", IF(Matching_Tb[[#This Row],[Can be matched ? ]] = "No", "", Matching_Tb[[#This Row],[TT Link]]))</f>
        <v/>
      </c>
      <c r="L19" s="26" t="str">
        <f aca="false">IF(Matching_Tb[[#This Row],[Can be matched ? ]] = "", "", Matching_Tb[[#This Row],[Can be matched ? ]])</f>
        <v/>
      </c>
      <c r="M19" s="41" t="str">
        <f aca="false">IF(Matching_Tb[[#This Row],[Rebate type]] = "", "", Matching_Tb[[#This Row],[Rebate type]])</f>
        <v/>
      </c>
      <c r="N19" s="26" t="str">
        <f aca="false">IF('Matching Sheet'!P19="", "", (IF(Site_Content[[#This Row],[Can be matched ? ]]="Yes", "Matched", Matching_Tb[[#This Row],[Comment]])))</f>
        <v/>
      </c>
    </row>
    <row r="20" customFormat="false" ht="14.25" hidden="false" customHeight="false" outlineLevel="0" collapsed="false">
      <c r="A20" s="38" t="str">
        <f aca="false">IF(Matching_Tb[[#This Row],[MKPL]] = "", "", Matching_Tb[[#This Row],[MKPL]])</f>
        <v/>
      </c>
      <c r="B20" s="26" t="str">
        <f aca="false">IF(Matching_Tb[[#This Row],[PL]] = "", "", Matching_Tb[[#This Row],[PL]])</f>
        <v/>
      </c>
      <c r="C20" s="38" t="str">
        <f aca="false">IF(Matching_Tb[[#This Row],[GL]] = "", "", Matching_Tb[[#This Row],[GL]])</f>
        <v/>
      </c>
      <c r="D20" s="26" t="str">
        <f aca="false">IF(Matching_Tb[[#This Row],[Competitor Name]] = "", "", Matching_Tb[[#This Row],[Competitor Name]])</f>
        <v/>
      </c>
      <c r="E20" s="26" t="str">
        <f aca="false">IF(Matching_Tb[[#This Row],[CMT  Set-up]] = "", "", Matching_Tb[[#This Row],[CMT  Set-up]])</f>
        <v/>
      </c>
      <c r="F20" s="27" t="str">
        <f aca="false">IF(Matching_Tb[[#This Row],[Start date]] = "", "", Matching_Tb[[#This Row],[Start date]])</f>
        <v/>
      </c>
      <c r="G20" s="27" t="str">
        <f aca="false">IF(Matching_Tb[[#This Row],[End date]] = "", "", Matching_Tb[[#This Row],[End date]])</f>
        <v/>
      </c>
      <c r="H20" s="51" t="str">
        <f aca="false">IF(Matching_Tb[[#This Row],[Competitor URL]] = "", "", Matching_Tb[[#This Row],[Competitor URL]])</f>
        <v/>
      </c>
      <c r="I20" s="26" t="str">
        <f aca="false">IF(Site_Content[[#This Row],[Competitor Name]] = "", "", IF(Matching_Tb[[#This Row],[Promo code]]="", "N/A", Matching_Tb[[#This Row],[Promo code]]))</f>
        <v/>
      </c>
      <c r="J20" s="26" t="str">
        <f aca="false">IF(Matching_Tb[[#This Row],[Offer Details]] = "", "", Matching_Tb[[#This Row],[Offer Details]])</f>
        <v/>
      </c>
      <c r="K20" s="45" t="str">
        <f aca="false">IF(Matching_Tb[[#This Row],[TT Link]]="", "", IF(Matching_Tb[[#This Row],[Can be matched ? ]] = "No", "", Matching_Tb[[#This Row],[TT Link]]))</f>
        <v/>
      </c>
      <c r="L20" s="26" t="str">
        <f aca="false">IF(Matching_Tb[[#This Row],[Can be matched ? ]] = "", "", Matching_Tb[[#This Row],[Can be matched ? ]])</f>
        <v/>
      </c>
      <c r="M20" s="41" t="str">
        <f aca="false">IF(Matching_Tb[[#This Row],[Rebate type]] = "", "", Matching_Tb[[#This Row],[Rebate type]])</f>
        <v/>
      </c>
      <c r="N20" s="26" t="str">
        <f aca="false">IF('Matching Sheet'!P20="", "", (IF(Site_Content[[#This Row],[Can be matched ? ]]="Yes", "Matched", Matching_Tb[[#This Row],[Comment]])))</f>
        <v/>
      </c>
    </row>
    <row r="21" customFormat="false" ht="14.25" hidden="false" customHeight="false" outlineLevel="0" collapsed="false">
      <c r="A21" s="38" t="str">
        <f aca="false">IF(Matching_Tb[[#This Row],[MKPL]] = "", "", Matching_Tb[[#This Row],[MKPL]])</f>
        <v/>
      </c>
      <c r="B21" s="26" t="str">
        <f aca="false">IF(Matching_Tb[[#This Row],[PL]] = "", "", Matching_Tb[[#This Row],[PL]])</f>
        <v/>
      </c>
      <c r="C21" s="38" t="str">
        <f aca="false">IF(Matching_Tb[[#This Row],[GL]] = "", "", Matching_Tb[[#This Row],[GL]])</f>
        <v/>
      </c>
      <c r="D21" s="26" t="str">
        <f aca="false">IF(Matching_Tb[[#This Row],[Competitor Name]] = "", "", Matching_Tb[[#This Row],[Competitor Name]])</f>
        <v/>
      </c>
      <c r="E21" s="26" t="str">
        <f aca="false">IF(Matching_Tb[[#This Row],[CMT  Set-up]] = "", "", Matching_Tb[[#This Row],[CMT  Set-up]])</f>
        <v/>
      </c>
      <c r="F21" s="27" t="str">
        <f aca="false">IF(Matching_Tb[[#This Row],[Start date]] = "", "", Matching_Tb[[#This Row],[Start date]])</f>
        <v/>
      </c>
      <c r="G21" s="27" t="str">
        <f aca="false">IF(Matching_Tb[[#This Row],[End date]] = "", "", Matching_Tb[[#This Row],[End date]])</f>
        <v/>
      </c>
      <c r="H21" s="51" t="str">
        <f aca="false">IF(Matching_Tb[[#This Row],[Competitor URL]] = "", "", Matching_Tb[[#This Row],[Competitor URL]])</f>
        <v/>
      </c>
      <c r="I21" s="26" t="str">
        <f aca="false">IF(Site_Content[[#This Row],[Competitor Name]] = "", "", IF(Matching_Tb[[#This Row],[Promo code]]="", "N/A", Matching_Tb[[#This Row],[Promo code]]))</f>
        <v/>
      </c>
      <c r="J21" s="26" t="str">
        <f aca="false">IF(Matching_Tb[[#This Row],[Offer Details]] = "", "", Matching_Tb[[#This Row],[Offer Details]])</f>
        <v/>
      </c>
      <c r="K21" s="45" t="str">
        <f aca="false">IF(Matching_Tb[[#This Row],[TT Link]]="", "", IF(Matching_Tb[[#This Row],[Can be matched ? ]] = "No", "", Matching_Tb[[#This Row],[TT Link]]))</f>
        <v/>
      </c>
      <c r="L21" s="26" t="str">
        <f aca="false">IF(Matching_Tb[[#This Row],[Can be matched ? ]] = "", "", Matching_Tb[[#This Row],[Can be matched ? ]])</f>
        <v/>
      </c>
      <c r="M21" s="41" t="str">
        <f aca="false">IF(Matching_Tb[[#This Row],[Rebate type]] = "", "", Matching_Tb[[#This Row],[Rebate type]])</f>
        <v/>
      </c>
      <c r="N21" s="26" t="str">
        <f aca="false">IF('Matching Sheet'!P21="", "", (IF(Site_Content[[#This Row],[Can be matched ? ]]="Yes", "Matched", Matching_Tb[[#This Row],[Comment]])))</f>
        <v/>
      </c>
    </row>
    <row r="22" customFormat="false" ht="14.25" hidden="false" customHeight="false" outlineLevel="0" collapsed="false">
      <c r="A22" s="26" t="str">
        <f aca="false">IF(Matching_Tb[[#This Row],[MKPL]] = "", "", Matching_Tb[[#This Row],[MKPL]])</f>
        <v/>
      </c>
      <c r="B22" s="26" t="str">
        <f aca="false">IF(Matching_Tb[[#This Row],[PL]] = "", "", Matching_Tb[[#This Row],[PL]])</f>
        <v/>
      </c>
      <c r="C22" s="26" t="str">
        <f aca="false">IF(Matching_Tb[[#This Row],[GL]] = "", "", Matching_Tb[[#This Row],[GL]])</f>
        <v/>
      </c>
      <c r="D22" s="50" t="str">
        <f aca="false">IF(Matching_Tb[[#This Row],[Competitor Name]] = "", "", Matching_Tb[[#This Row],[Competitor Name]])</f>
        <v/>
      </c>
      <c r="E22" s="50" t="str">
        <f aca="false">IF(Matching_Tb[[#This Row],[CMT  Set-up]] = "", "", Matching_Tb[[#This Row],[CMT  Set-up]])</f>
        <v/>
      </c>
      <c r="F22" s="27" t="str">
        <f aca="false">IF(Matching_Tb[[#This Row],[Start date]] = "", "", Matching_Tb[[#This Row],[Start date]])</f>
        <v/>
      </c>
      <c r="G22" s="27" t="str">
        <f aca="false">IF(Matching_Tb[[#This Row],[End date]] = "", "", Matching_Tb[[#This Row],[End date]])</f>
        <v/>
      </c>
      <c r="H22" s="51" t="str">
        <f aca="false">IF(Matching_Tb[[#This Row],[Competitor URL]] = "", "", Matching_Tb[[#This Row],[Competitor URL]])</f>
        <v/>
      </c>
      <c r="I22" s="51" t="str">
        <f aca="false">IF(Site_Content[[#This Row],[Competitor Name]] = "", "", IF(Matching_Tb[[#This Row],[Promo code]]="", "N/A", Matching_Tb[[#This Row],[Promo code]]))</f>
        <v/>
      </c>
      <c r="J22" s="26" t="str">
        <f aca="false">IF(Matching_Tb[[#This Row],[Offer Details]] = "", "", Matching_Tb[[#This Row],[Offer Details]])</f>
        <v/>
      </c>
      <c r="K22" s="51" t="str">
        <f aca="false">IF(Matching_Tb[[#This Row],[TT Link]]="", "", IF(Matching_Tb[[#This Row],[Can be matched ? ]] = "No", "", Matching_Tb[[#This Row],[TT Link]]))</f>
        <v/>
      </c>
      <c r="L22" s="51" t="str">
        <f aca="false">IF(Matching_Tb[[#This Row],[Can be matched ? ]] = "", "", Matching_Tb[[#This Row],[Can be matched ? ]])</f>
        <v/>
      </c>
      <c r="M22" s="41" t="str">
        <f aca="false">IF(Matching_Tb[[#This Row],[Rebate type]] = "", "", Matching_Tb[[#This Row],[Rebate type]])</f>
        <v/>
      </c>
      <c r="N22" s="41" t="str">
        <f aca="false">IF('Matching Sheet'!P22="", "", (IF(Site_Content[[#This Row],[Can be matched ? ]]="Yes", "Matched", Matching_Tb[[#This Row],[Comment]])))</f>
        <v/>
      </c>
    </row>
    <row r="23" customFormat="false" ht="14.25" hidden="false" customHeight="false" outlineLevel="0" collapsed="false">
      <c r="A23" s="26" t="str">
        <f aca="false">IF(Matching_Tb[[#This Row],[MKPL]] = "", "", Matching_Tb[[#This Row],[MKPL]])</f>
        <v/>
      </c>
      <c r="B23" s="26" t="str">
        <f aca="false">IF(Matching_Tb[[#This Row],[PL]] = "", "", Matching_Tb[[#This Row],[PL]])</f>
        <v/>
      </c>
      <c r="C23" s="26" t="str">
        <f aca="false">IF(Matching_Tb[[#This Row],[GL]] = "", "", Matching_Tb[[#This Row],[GL]])</f>
        <v/>
      </c>
      <c r="D23" s="50" t="str">
        <f aca="false">IF(Matching_Tb[[#This Row],[Competitor Name]] = "", "", Matching_Tb[[#This Row],[Competitor Name]])</f>
        <v/>
      </c>
      <c r="E23" s="52" t="str">
        <f aca="false">IF(Matching_Tb[[#This Row],[CMT  Set-up]] = "", "", Matching_Tb[[#This Row],[CMT  Set-up]])</f>
        <v/>
      </c>
      <c r="F23" s="27" t="str">
        <f aca="false">IF(Matching_Tb[[#This Row],[Start date]] = "", "", Matching_Tb[[#This Row],[Start date]])</f>
        <v/>
      </c>
      <c r="G23" s="27" t="str">
        <f aca="false">IF(Matching_Tb[[#This Row],[End date]] = "", "", Matching_Tb[[#This Row],[End date]])</f>
        <v/>
      </c>
      <c r="H23" s="51" t="str">
        <f aca="false">IF(Matching_Tb[[#This Row],[Competitor URL]] = "", "", Matching_Tb[[#This Row],[Competitor URL]])</f>
        <v/>
      </c>
      <c r="I23" s="51" t="str">
        <f aca="false">IF(Site_Content[[#This Row],[Competitor Name]] = "", "", IF(Matching_Tb[[#This Row],[Promo code]]="", "N/A", Matching_Tb[[#This Row],[Promo code]]))</f>
        <v/>
      </c>
      <c r="J23" s="26" t="str">
        <f aca="false">IF(Matching_Tb[[#This Row],[Offer Details]] = "", "", Matching_Tb[[#This Row],[Offer Details]])</f>
        <v/>
      </c>
      <c r="K23" s="51" t="str">
        <f aca="false">IF(Matching_Tb[[#This Row],[TT Link]]="", "", IF(Matching_Tb[[#This Row],[Can be matched ? ]] = "No", "", Matching_Tb[[#This Row],[TT Link]]))</f>
        <v/>
      </c>
      <c r="L23" s="51" t="str">
        <f aca="false">IF(Matching_Tb[[#This Row],[Can be matched ? ]] = "", "", Matching_Tb[[#This Row],[Can be matched ? ]])</f>
        <v/>
      </c>
      <c r="M23" s="41" t="str">
        <f aca="false">IF(Matching_Tb[[#This Row],[Rebate type]] = "", "", Matching_Tb[[#This Row],[Rebate type]])</f>
        <v/>
      </c>
      <c r="N23" s="41" t="str">
        <f aca="false">IF('Matching Sheet'!P23="", "", (IF(Site_Content[[#This Row],[Can be matched ? ]]="Yes", "Matched", Matching_Tb[[#This Row],[Comment]])))</f>
        <v/>
      </c>
    </row>
    <row r="24" customFormat="false" ht="14.25" hidden="false" customHeight="false" outlineLevel="0" collapsed="false">
      <c r="A24" s="26" t="str">
        <f aca="false">IF(Matching_Tb[[#This Row],[MKPL]] = "", "", Matching_Tb[[#This Row],[MKPL]])</f>
        <v/>
      </c>
      <c r="B24" s="26" t="str">
        <f aca="false">IF(Matching_Tb[[#This Row],[PL]] = "", "", Matching_Tb[[#This Row],[PL]])</f>
        <v/>
      </c>
      <c r="C24" s="26" t="str">
        <f aca="false">IF(Matching_Tb[[#This Row],[GL]] = "", "", Matching_Tb[[#This Row],[GL]])</f>
        <v/>
      </c>
      <c r="D24" s="50" t="str">
        <f aca="false">IF(Matching_Tb[[#This Row],[Competitor Name]] = "", "", Matching_Tb[[#This Row],[Competitor Name]])</f>
        <v/>
      </c>
      <c r="E24" s="52" t="str">
        <f aca="false">IF(Matching_Tb[[#This Row],[CMT  Set-up]] = "", "", Matching_Tb[[#This Row],[CMT  Set-up]])</f>
        <v/>
      </c>
      <c r="F24" s="27" t="str">
        <f aca="false">IF(Matching_Tb[[#This Row],[Start date]] = "", "", Matching_Tb[[#This Row],[Start date]])</f>
        <v/>
      </c>
      <c r="G24" s="27" t="str">
        <f aca="false">IF(Matching_Tb[[#This Row],[End date]] = "", "", Matching_Tb[[#This Row],[End date]])</f>
        <v/>
      </c>
      <c r="H24" s="51" t="str">
        <f aca="false">IF(Matching_Tb[[#This Row],[Competitor URL]] = "", "", Matching_Tb[[#This Row],[Competitor URL]])</f>
        <v/>
      </c>
      <c r="I24" s="51" t="str">
        <f aca="false">IF(Site_Content[[#This Row],[Competitor Name]] = "", "", IF(Matching_Tb[[#This Row],[Promo code]]="", "N/A", Matching_Tb[[#This Row],[Promo code]]))</f>
        <v/>
      </c>
      <c r="J24" s="26" t="str">
        <f aca="false">IF(Matching_Tb[[#This Row],[Offer Details]] = "", "", Matching_Tb[[#This Row],[Offer Details]])</f>
        <v/>
      </c>
      <c r="K24" s="51" t="str">
        <f aca="false">IF(Matching_Tb[[#This Row],[TT Link]]="", "", IF(Matching_Tb[[#This Row],[Can be matched ? ]] = "No", "", Matching_Tb[[#This Row],[TT Link]]))</f>
        <v/>
      </c>
      <c r="L24" s="51" t="str">
        <f aca="false">IF(Matching_Tb[[#This Row],[Can be matched ? ]] = "", "", Matching_Tb[[#This Row],[Can be matched ? ]])</f>
        <v/>
      </c>
      <c r="M24" s="41" t="str">
        <f aca="false">IF(Matching_Tb[[#This Row],[Rebate type]] = "", "", Matching_Tb[[#This Row],[Rebate type]])</f>
        <v/>
      </c>
      <c r="N24" s="41" t="str">
        <f aca="false">IF('Matching Sheet'!P24="", "", (IF(Site_Content[[#This Row],[Can be matched ? ]]="Yes", "Matched", Matching_Tb[[#This Row],[Comment]])))</f>
        <v/>
      </c>
    </row>
    <row r="25" customFormat="false" ht="14.25" hidden="false" customHeight="false" outlineLevel="0" collapsed="false">
      <c r="A25" s="26" t="str">
        <f aca="false">IF(Matching_Tb[[#This Row],[MKPL]] = "", "", Matching_Tb[[#This Row],[MKPL]])</f>
        <v/>
      </c>
      <c r="B25" s="26" t="str">
        <f aca="false">IF(Matching_Tb[[#This Row],[PL]] = "", "", Matching_Tb[[#This Row],[PL]])</f>
        <v/>
      </c>
      <c r="C25" s="26" t="str">
        <f aca="false">IF(Matching_Tb[[#This Row],[GL]] = "", "", Matching_Tb[[#This Row],[GL]])</f>
        <v/>
      </c>
      <c r="D25" s="50" t="str">
        <f aca="false">IF(Matching_Tb[[#This Row],[Competitor Name]] = "", "", Matching_Tb[[#This Row],[Competitor Name]])</f>
        <v/>
      </c>
      <c r="E25" s="52" t="str">
        <f aca="false">IF(Matching_Tb[[#This Row],[CMT  Set-up]] = "", "", Matching_Tb[[#This Row],[CMT  Set-up]])</f>
        <v/>
      </c>
      <c r="F25" s="27" t="str">
        <f aca="false">IF(Matching_Tb[[#This Row],[Start date]] = "", "", Matching_Tb[[#This Row],[Start date]])</f>
        <v/>
      </c>
      <c r="G25" s="27" t="str">
        <f aca="false">IF(Matching_Tb[[#This Row],[End date]] = "", "", Matching_Tb[[#This Row],[End date]])</f>
        <v/>
      </c>
      <c r="H25" s="51" t="str">
        <f aca="false">IF(Matching_Tb[[#This Row],[Competitor URL]] = "", "", Matching_Tb[[#This Row],[Competitor URL]])</f>
        <v/>
      </c>
      <c r="I25" s="51" t="str">
        <f aca="false">IF(Site_Content[[#This Row],[Competitor Name]] = "", "", IF(Matching_Tb[[#This Row],[Promo code]]="", "N/A", Matching_Tb[[#This Row],[Promo code]]))</f>
        <v/>
      </c>
      <c r="J25" s="26" t="str">
        <f aca="false">IF(Matching_Tb[[#This Row],[Offer Details]] = "", "", Matching_Tb[[#This Row],[Offer Details]])</f>
        <v/>
      </c>
      <c r="K25" s="51" t="str">
        <f aca="false">IF(Matching_Tb[[#This Row],[TT Link]]="", "", IF(Matching_Tb[[#This Row],[Can be matched ? ]] = "No", "", Matching_Tb[[#This Row],[TT Link]]))</f>
        <v/>
      </c>
      <c r="L25" s="51" t="str">
        <f aca="false">IF(Matching_Tb[[#This Row],[Can be matched ? ]] = "", "", Matching_Tb[[#This Row],[Can be matched ? ]])</f>
        <v/>
      </c>
      <c r="M25" s="41" t="str">
        <f aca="false">IF(Matching_Tb[[#This Row],[Rebate type]] = "", "", Matching_Tb[[#This Row],[Rebate type]])</f>
        <v/>
      </c>
      <c r="N25" s="41" t="str">
        <f aca="false">IF('Matching Sheet'!P25="", "", (IF(Site_Content[[#This Row],[Can be matched ? ]]="Yes", "Matched", Matching_Tb[[#This Row],[Comment]])))</f>
        <v/>
      </c>
    </row>
    <row r="26" customFormat="false" ht="14.25" hidden="false" customHeight="false" outlineLevel="0" collapsed="false">
      <c r="A26" s="26" t="str">
        <f aca="false">IF(Matching_Tb[[#This Row],[MKPL]] = "", "", Matching_Tb[[#This Row],[MKPL]])</f>
        <v/>
      </c>
      <c r="B26" s="26" t="str">
        <f aca="false">IF(Matching_Tb[[#This Row],[PL]] = "", "", Matching_Tb[[#This Row],[PL]])</f>
        <v/>
      </c>
      <c r="C26" s="26" t="str">
        <f aca="false">IF(Matching_Tb[[#This Row],[GL]] = "", "", Matching_Tb[[#This Row],[GL]])</f>
        <v/>
      </c>
      <c r="D26" s="50" t="str">
        <f aca="false">IF(Matching_Tb[[#This Row],[Competitor Name]] = "", "", Matching_Tb[[#This Row],[Competitor Name]])</f>
        <v/>
      </c>
      <c r="E26" s="52" t="str">
        <f aca="false">IF(Matching_Tb[[#This Row],[CMT  Set-up]] = "", "", Matching_Tb[[#This Row],[CMT  Set-up]])</f>
        <v/>
      </c>
      <c r="F26" s="27" t="str">
        <f aca="false">IF(Matching_Tb[[#This Row],[Start date]] = "", "", Matching_Tb[[#This Row],[Start date]])</f>
        <v/>
      </c>
      <c r="G26" s="27" t="str">
        <f aca="false">IF(Matching_Tb[[#This Row],[End date]] = "", "", Matching_Tb[[#This Row],[End date]])</f>
        <v/>
      </c>
      <c r="H26" s="51" t="str">
        <f aca="false">IF(Matching_Tb[[#This Row],[Competitor URL]] = "", "", Matching_Tb[[#This Row],[Competitor URL]])</f>
        <v/>
      </c>
      <c r="I26" s="51" t="str">
        <f aca="false">IF(Site_Content[[#This Row],[Competitor Name]] = "", "", IF(Matching_Tb[[#This Row],[Promo code]]="", "N/A", Matching_Tb[[#This Row],[Promo code]]))</f>
        <v/>
      </c>
      <c r="J26" s="26" t="str">
        <f aca="false">IF(Matching_Tb[[#This Row],[Offer Details]] = "", "", Matching_Tb[[#This Row],[Offer Details]])</f>
        <v/>
      </c>
      <c r="K26" s="51" t="str">
        <f aca="false">IF(Matching_Tb[[#This Row],[TT Link]]="", "", IF(Matching_Tb[[#This Row],[Can be matched ? ]] = "No", "", Matching_Tb[[#This Row],[TT Link]]))</f>
        <v/>
      </c>
      <c r="L26" s="51" t="str">
        <f aca="false">IF(Matching_Tb[[#This Row],[Can be matched ? ]] = "", "", Matching_Tb[[#This Row],[Can be matched ? ]])</f>
        <v/>
      </c>
      <c r="M26" s="41" t="str">
        <f aca="false">IF(Matching_Tb[[#This Row],[Rebate type]] = "", "", Matching_Tb[[#This Row],[Rebate type]])</f>
        <v/>
      </c>
      <c r="N26" s="41" t="str">
        <f aca="false">IF('Matching Sheet'!P26="", "", (IF(Site_Content[[#This Row],[Can be matched ? ]]="Yes", "Matched", Matching_Tb[[#This Row],[Comment]])))</f>
        <v/>
      </c>
    </row>
    <row r="27" customFormat="false" ht="14.25" hidden="false" customHeight="false" outlineLevel="0" collapsed="false">
      <c r="A27" s="26" t="str">
        <f aca="false">IF(Matching_Tb[[#This Row],[MKPL]] = "", "", Matching_Tb[[#This Row],[MKPL]])</f>
        <v/>
      </c>
      <c r="B27" s="26" t="str">
        <f aca="false">IF(Matching_Tb[[#This Row],[PL]] = "", "", Matching_Tb[[#This Row],[PL]])</f>
        <v/>
      </c>
      <c r="C27" s="26" t="str">
        <f aca="false">IF(Matching_Tb[[#This Row],[GL]] = "", "", Matching_Tb[[#This Row],[GL]])</f>
        <v/>
      </c>
      <c r="D27" s="50" t="str">
        <f aca="false">IF(Matching_Tb[[#This Row],[Competitor Name]] = "", "", Matching_Tb[[#This Row],[Competitor Name]])</f>
        <v/>
      </c>
      <c r="E27" s="52" t="str">
        <f aca="false">IF(Matching_Tb[[#This Row],[CMT  Set-up]] = "", "", Matching_Tb[[#This Row],[CMT  Set-up]])</f>
        <v/>
      </c>
      <c r="F27" s="27" t="str">
        <f aca="false">IF(Matching_Tb[[#This Row],[Start date]] = "", "", Matching_Tb[[#This Row],[Start date]])</f>
        <v/>
      </c>
      <c r="G27" s="27" t="str">
        <f aca="false">IF(Matching_Tb[[#This Row],[End date]] = "", "", Matching_Tb[[#This Row],[End date]])</f>
        <v/>
      </c>
      <c r="H27" s="51" t="str">
        <f aca="false">IF(Matching_Tb[[#This Row],[Competitor URL]] = "", "", Matching_Tb[[#This Row],[Competitor URL]])</f>
        <v/>
      </c>
      <c r="I27" s="51" t="str">
        <f aca="false">IF(Site_Content[[#This Row],[Competitor Name]] = "", "", IF(Matching_Tb[[#This Row],[Promo code]]="", "N/A", Matching_Tb[[#This Row],[Promo code]]))</f>
        <v/>
      </c>
      <c r="J27" s="26" t="str">
        <f aca="false">IF(Matching_Tb[[#This Row],[Offer Details]] = "", "", Matching_Tb[[#This Row],[Offer Details]])</f>
        <v/>
      </c>
      <c r="K27" s="51" t="str">
        <f aca="false">IF(Matching_Tb[[#This Row],[TT Link]]="", "", IF(Matching_Tb[[#This Row],[Can be matched ? ]] = "No", "", Matching_Tb[[#This Row],[TT Link]]))</f>
        <v/>
      </c>
      <c r="L27" s="51" t="str">
        <f aca="false">IF(Matching_Tb[[#This Row],[Can be matched ? ]] = "", "", Matching_Tb[[#This Row],[Can be matched ? ]])</f>
        <v/>
      </c>
      <c r="M27" s="41" t="str">
        <f aca="false">IF(Matching_Tb[[#This Row],[Rebate type]] = "", "", Matching_Tb[[#This Row],[Rebate type]])</f>
        <v/>
      </c>
      <c r="N27" s="41" t="str">
        <f aca="false">IF('Matching Sheet'!P27="", "", (IF(Site_Content[[#This Row],[Can be matched ? ]]="Yes", "Matched", Matching_Tb[[#This Row],[Comment]])))</f>
        <v/>
      </c>
    </row>
    <row r="28" customFormat="false" ht="14.25" hidden="false" customHeight="false" outlineLevel="0" collapsed="false">
      <c r="A28" s="26" t="str">
        <f aca="false">IF(Matching_Tb[[#This Row],[MKPL]] = "", "", Matching_Tb[[#This Row],[MKPL]])</f>
        <v/>
      </c>
      <c r="B28" s="26" t="str">
        <f aca="false">IF(Matching_Tb[[#This Row],[PL]] = "", "", Matching_Tb[[#This Row],[PL]])</f>
        <v/>
      </c>
      <c r="C28" s="26" t="str">
        <f aca="false">IF(Matching_Tb[[#This Row],[GL]] = "", "", Matching_Tb[[#This Row],[GL]])</f>
        <v/>
      </c>
      <c r="D28" s="50" t="str">
        <f aca="false">IF(Matching_Tb[[#This Row],[Competitor Name]] = "", "", Matching_Tb[[#This Row],[Competitor Name]])</f>
        <v/>
      </c>
      <c r="E28" s="52" t="str">
        <f aca="false">IF(Matching_Tb[[#This Row],[CMT  Set-up]] = "", "", Matching_Tb[[#This Row],[CMT  Set-up]])</f>
        <v/>
      </c>
      <c r="F28" s="27" t="str">
        <f aca="false">IF(Matching_Tb[[#This Row],[Start date]] = "", "", Matching_Tb[[#This Row],[Start date]])</f>
        <v/>
      </c>
      <c r="G28" s="27" t="str">
        <f aca="false">IF(Matching_Tb[[#This Row],[End date]] = "", "", Matching_Tb[[#This Row],[End date]])</f>
        <v/>
      </c>
      <c r="H28" s="51" t="str">
        <f aca="false">IF(Matching_Tb[[#This Row],[Competitor URL]] = "", "", Matching_Tb[[#This Row],[Competitor URL]])</f>
        <v/>
      </c>
      <c r="I28" s="51" t="str">
        <f aca="false">IF(Site_Content[[#This Row],[Competitor Name]] = "", "", IF(Matching_Tb[[#This Row],[Promo code]]="", "N/A", Matching_Tb[[#This Row],[Promo code]]))</f>
        <v/>
      </c>
      <c r="J28" s="26" t="str">
        <f aca="false">IF(Matching_Tb[[#This Row],[Offer Details]] = "", "", Matching_Tb[[#This Row],[Offer Details]])</f>
        <v/>
      </c>
      <c r="K28" s="51" t="str">
        <f aca="false">IF(Matching_Tb[[#This Row],[TT Link]]="", "", IF(Matching_Tb[[#This Row],[Can be matched ? ]] = "No", "", Matching_Tb[[#This Row],[TT Link]]))</f>
        <v/>
      </c>
      <c r="L28" s="51" t="str">
        <f aca="false">IF(Matching_Tb[[#This Row],[Can be matched ? ]] = "", "", Matching_Tb[[#This Row],[Can be matched ? ]])</f>
        <v/>
      </c>
      <c r="M28" s="41" t="str">
        <f aca="false">IF(Matching_Tb[[#This Row],[Rebate type]] = "", "", Matching_Tb[[#This Row],[Rebate type]])</f>
        <v/>
      </c>
      <c r="N28" s="41" t="str">
        <f aca="false">IF('Matching Sheet'!P28="", "", (IF(Site_Content[[#This Row],[Can be matched ? ]]="Yes", "Matched", Matching_Tb[[#This Row],[Comment]])))</f>
        <v/>
      </c>
    </row>
    <row r="29" customFormat="false" ht="14.25" hidden="false" customHeight="false" outlineLevel="0" collapsed="false">
      <c r="A29" s="26" t="str">
        <f aca="false">IF(Matching_Tb[[#This Row],[MKPL]] = "", "", Matching_Tb[[#This Row],[MKPL]])</f>
        <v/>
      </c>
      <c r="B29" s="26" t="str">
        <f aca="false">IF(Matching_Tb[[#This Row],[PL]] = "", "", Matching_Tb[[#This Row],[PL]])</f>
        <v/>
      </c>
      <c r="C29" s="26" t="str">
        <f aca="false">IF(Matching_Tb[[#This Row],[GL]] = "", "", Matching_Tb[[#This Row],[GL]])</f>
        <v/>
      </c>
      <c r="D29" s="50" t="str">
        <f aca="false">IF(Matching_Tb[[#This Row],[Competitor Name]] = "", "", Matching_Tb[[#This Row],[Competitor Name]])</f>
        <v/>
      </c>
      <c r="E29" s="52" t="str">
        <f aca="false">IF(Matching_Tb[[#This Row],[CMT  Set-up]] = "", "", Matching_Tb[[#This Row],[CMT  Set-up]])</f>
        <v/>
      </c>
      <c r="F29" s="27" t="str">
        <f aca="false">IF(Matching_Tb[[#This Row],[Start date]] = "", "", Matching_Tb[[#This Row],[Start date]])</f>
        <v/>
      </c>
      <c r="G29" s="27" t="str">
        <f aca="false">IF(Matching_Tb[[#This Row],[End date]] = "", "", Matching_Tb[[#This Row],[End date]])</f>
        <v/>
      </c>
      <c r="H29" s="51" t="str">
        <f aca="false">IF(Matching_Tb[[#This Row],[Competitor URL]] = "", "", Matching_Tb[[#This Row],[Competitor URL]])</f>
        <v/>
      </c>
      <c r="I29" s="51" t="str">
        <f aca="false">IF(Site_Content[[#This Row],[Competitor Name]] = "", "", IF(Matching_Tb[[#This Row],[Promo code]]="", "N/A", Matching_Tb[[#This Row],[Promo code]]))</f>
        <v/>
      </c>
      <c r="J29" s="26" t="str">
        <f aca="false">IF(Matching_Tb[[#This Row],[Offer Details]] = "", "", Matching_Tb[[#This Row],[Offer Details]])</f>
        <v/>
      </c>
      <c r="K29" s="51" t="str">
        <f aca="false">IF(Matching_Tb[[#This Row],[TT Link]]="", "", IF(Matching_Tb[[#This Row],[Can be matched ? ]] = "No", "", Matching_Tb[[#This Row],[TT Link]]))</f>
        <v/>
      </c>
      <c r="L29" s="51" t="str">
        <f aca="false">IF(Matching_Tb[[#This Row],[Can be matched ? ]] = "", "", Matching_Tb[[#This Row],[Can be matched ? ]])</f>
        <v/>
      </c>
      <c r="M29" s="41" t="str">
        <f aca="false">IF(Matching_Tb[[#This Row],[Rebate type]] = "", "", Matching_Tb[[#This Row],[Rebate type]])</f>
        <v/>
      </c>
      <c r="N29" s="41" t="str">
        <f aca="false">IF('Matching Sheet'!P29="", "", (IF(Site_Content[[#This Row],[Can be matched ? ]]="Yes", "Matched", Matching_Tb[[#This Row],[Comment]])))</f>
        <v/>
      </c>
    </row>
    <row r="30" customFormat="false" ht="14.25" hidden="false" customHeight="false" outlineLevel="0" collapsed="false">
      <c r="A30" s="26" t="str">
        <f aca="false">IF(Matching_Tb[[#This Row],[MKPL]] = "", "", Matching_Tb[[#This Row],[MKPL]])</f>
        <v/>
      </c>
      <c r="B30" s="26" t="str">
        <f aca="false">IF(Matching_Tb[[#This Row],[PL]] = "", "", Matching_Tb[[#This Row],[PL]])</f>
        <v/>
      </c>
      <c r="C30" s="26" t="str">
        <f aca="false">IF(Matching_Tb[[#This Row],[GL]] = "", "", Matching_Tb[[#This Row],[GL]])</f>
        <v/>
      </c>
      <c r="D30" s="50" t="str">
        <f aca="false">IF(Matching_Tb[[#This Row],[Competitor Name]] = "", "", Matching_Tb[[#This Row],[Competitor Name]])</f>
        <v/>
      </c>
      <c r="E30" s="52" t="str">
        <f aca="false">IF(Matching_Tb[[#This Row],[CMT  Set-up]] = "", "", Matching_Tb[[#This Row],[CMT  Set-up]])</f>
        <v/>
      </c>
      <c r="F30" s="27" t="str">
        <f aca="false">IF(Matching_Tb[[#This Row],[Start date]] = "", "", Matching_Tb[[#This Row],[Start date]])</f>
        <v/>
      </c>
      <c r="G30" s="27" t="str">
        <f aca="false">IF(Matching_Tb[[#This Row],[End date]] = "", "", Matching_Tb[[#This Row],[End date]])</f>
        <v/>
      </c>
      <c r="H30" s="51" t="str">
        <f aca="false">IF(Matching_Tb[[#This Row],[Competitor URL]] = "", "", Matching_Tb[[#This Row],[Competitor URL]])</f>
        <v/>
      </c>
      <c r="I30" s="51" t="str">
        <f aca="false">IF(Site_Content[[#This Row],[Competitor Name]] = "", "", IF(Matching_Tb[[#This Row],[Promo code]]="", "N/A", Matching_Tb[[#This Row],[Promo code]]))</f>
        <v/>
      </c>
      <c r="J30" s="26" t="str">
        <f aca="false">IF(Matching_Tb[[#This Row],[Offer Details]] = "", "", Matching_Tb[[#This Row],[Offer Details]])</f>
        <v/>
      </c>
      <c r="K30" s="51" t="str">
        <f aca="false">IF(Matching_Tb[[#This Row],[TT Link]]="", "", IF(Matching_Tb[[#This Row],[Can be matched ? ]] = "No", "", Matching_Tb[[#This Row],[TT Link]]))</f>
        <v/>
      </c>
      <c r="L30" s="51" t="str">
        <f aca="false">IF(Matching_Tb[[#This Row],[Can be matched ? ]] = "", "", Matching_Tb[[#This Row],[Can be matched ? ]])</f>
        <v/>
      </c>
      <c r="M30" s="41" t="str">
        <f aca="false">IF(Matching_Tb[[#This Row],[Rebate type]] = "", "", Matching_Tb[[#This Row],[Rebate type]])</f>
        <v/>
      </c>
      <c r="N30" s="41" t="str">
        <f aca="false">IF('Matching Sheet'!P30="", "", (IF(Site_Content[[#This Row],[Can be matched ? ]]="Yes", "Matched", Matching_Tb[[#This Row],[Comment]])))</f>
        <v/>
      </c>
    </row>
    <row r="31" customFormat="false" ht="14.25" hidden="false" customHeight="false" outlineLevel="0" collapsed="false">
      <c r="A31" s="26" t="str">
        <f aca="false">IF(Matching_Tb[[#This Row],[MKPL]] = "", "", Matching_Tb[[#This Row],[MKPL]])</f>
        <v/>
      </c>
      <c r="B31" s="26" t="str">
        <f aca="false">IF(Matching_Tb[[#This Row],[PL]] = "", "", Matching_Tb[[#This Row],[PL]])</f>
        <v/>
      </c>
      <c r="C31" s="26" t="str">
        <f aca="false">IF(Matching_Tb[[#This Row],[GL]] = "", "", Matching_Tb[[#This Row],[GL]])</f>
        <v/>
      </c>
      <c r="D31" s="50" t="str">
        <f aca="false">IF(Matching_Tb[[#This Row],[Competitor Name]] = "", "", Matching_Tb[[#This Row],[Competitor Name]])</f>
        <v/>
      </c>
      <c r="E31" s="52" t="str">
        <f aca="false">IF(Matching_Tb[[#This Row],[CMT  Set-up]] = "", "", Matching_Tb[[#This Row],[CMT  Set-up]])</f>
        <v/>
      </c>
      <c r="F31" s="27" t="str">
        <f aca="false">IF(Matching_Tb[[#This Row],[Start date]] = "", "", Matching_Tb[[#This Row],[Start date]])</f>
        <v/>
      </c>
      <c r="G31" s="27" t="str">
        <f aca="false">IF(Matching_Tb[[#This Row],[End date]] = "", "", Matching_Tb[[#This Row],[End date]])</f>
        <v/>
      </c>
      <c r="H31" s="51" t="str">
        <f aca="false">IF(Matching_Tb[[#This Row],[Competitor URL]] = "", "", Matching_Tb[[#This Row],[Competitor URL]])</f>
        <v/>
      </c>
      <c r="I31" s="51" t="str">
        <f aca="false">IF(Site_Content[[#This Row],[Competitor Name]] = "", "", IF(Matching_Tb[[#This Row],[Promo code]]="", "N/A", Matching_Tb[[#This Row],[Promo code]]))</f>
        <v/>
      </c>
      <c r="J31" s="26" t="str">
        <f aca="false">IF(Matching_Tb[[#This Row],[Offer Details]] = "", "", Matching_Tb[[#This Row],[Offer Details]])</f>
        <v/>
      </c>
      <c r="K31" s="51" t="str">
        <f aca="false">IF(Matching_Tb[[#This Row],[TT Link]]="", "", IF(Matching_Tb[[#This Row],[Can be matched ? ]] = "No", "", Matching_Tb[[#This Row],[TT Link]]))</f>
        <v/>
      </c>
      <c r="L31" s="51" t="str">
        <f aca="false">IF(Matching_Tb[[#This Row],[Can be matched ? ]] = "", "", Matching_Tb[[#This Row],[Can be matched ? ]])</f>
        <v/>
      </c>
      <c r="M31" s="41" t="str">
        <f aca="false">IF(Matching_Tb[[#This Row],[Rebate type]] = "", "", Matching_Tb[[#This Row],[Rebate type]])</f>
        <v/>
      </c>
      <c r="N31" s="41" t="str">
        <f aca="false">IF('Matching Sheet'!P31="", "", (IF(Site_Content[[#This Row],[Can be matched ? ]]="Yes", "Matched", Matching_Tb[[#This Row],[Comment]])))</f>
        <v/>
      </c>
    </row>
    <row r="32" customFormat="false" ht="14.25" hidden="false" customHeight="false" outlineLevel="0" collapsed="false">
      <c r="A32" s="26" t="str">
        <f aca="false">IF(Matching_Tb[[#This Row],[MKPL]] = "", "", Matching_Tb[[#This Row],[MKPL]])</f>
        <v/>
      </c>
      <c r="B32" s="26" t="str">
        <f aca="false">IF(Matching_Tb[[#This Row],[PL]] = "", "", Matching_Tb[[#This Row],[PL]])</f>
        <v/>
      </c>
      <c r="C32" s="26" t="str">
        <f aca="false">IF(Matching_Tb[[#This Row],[GL]] = "", "", Matching_Tb[[#This Row],[GL]])</f>
        <v/>
      </c>
      <c r="D32" s="50" t="str">
        <f aca="false">IF(Matching_Tb[[#This Row],[Competitor Name]] = "", "", Matching_Tb[[#This Row],[Competitor Name]])</f>
        <v/>
      </c>
      <c r="E32" s="26" t="str">
        <f aca="false">IF(Matching_Tb[[#This Row],[CMT  Set-up]] = "", "", Matching_Tb[[#This Row],[CMT  Set-up]])</f>
        <v/>
      </c>
      <c r="F32" s="27" t="str">
        <f aca="false">IF(Matching_Tb[[#This Row],[Start date]] = "", "", Matching_Tb[[#This Row],[Start date]])</f>
        <v/>
      </c>
      <c r="G32" s="27" t="str">
        <f aca="false">IF(Matching_Tb[[#This Row],[End date]] = "", "", Matching_Tb[[#This Row],[End date]])</f>
        <v/>
      </c>
      <c r="H32" s="51" t="str">
        <f aca="false">IF(Matching_Tb[[#This Row],[Competitor URL]] = "", "", Matching_Tb[[#This Row],[Competitor URL]])</f>
        <v/>
      </c>
      <c r="I32" s="26" t="str">
        <f aca="false">IF(Site_Content[[#This Row],[Competitor Name]] = "", "", IF(Matching_Tb[[#This Row],[Promo code]]="", "N/A", Matching_Tb[[#This Row],[Promo code]]))</f>
        <v/>
      </c>
      <c r="J32" s="26" t="str">
        <f aca="false">IF(Matching_Tb[[#This Row],[Offer Details]] = "", "", Matching_Tb[[#This Row],[Offer Details]])</f>
        <v/>
      </c>
      <c r="K32" s="51" t="str">
        <f aca="false">IF(Matching_Tb[[#This Row],[TT Link]]="", "", IF(Matching_Tb[[#This Row],[Can be matched ? ]] = "No", "", Matching_Tb[[#This Row],[TT Link]]))</f>
        <v/>
      </c>
      <c r="L32" s="26" t="str">
        <f aca="false">IF(Matching_Tb[[#This Row],[Can be matched ? ]] = "", "", Matching_Tb[[#This Row],[Can be matched ? ]])</f>
        <v/>
      </c>
      <c r="M32" s="41" t="str">
        <f aca="false">IF(Matching_Tb[[#This Row],[Rebate type]] = "", "", Matching_Tb[[#This Row],[Rebate type]])</f>
        <v/>
      </c>
      <c r="N32" s="26" t="str">
        <f aca="false">IF('Matching Sheet'!P32="", "", (IF(Site_Content[[#This Row],[Can be matched ? ]]="Yes", "Matched", Matching_Tb[[#This Row],[Comment]])))</f>
        <v/>
      </c>
    </row>
    <row r="33" customFormat="false" ht="14.25" hidden="false" customHeight="false" outlineLevel="0" collapsed="false">
      <c r="A33" s="26" t="str">
        <f aca="false">IF(Matching_Tb[[#This Row],[MKPL]] = "", "", Matching_Tb[[#This Row],[MKPL]])</f>
        <v/>
      </c>
      <c r="B33" s="26" t="str">
        <f aca="false">IF(Matching_Tb[[#This Row],[PL]] = "", "", Matching_Tb[[#This Row],[PL]])</f>
        <v/>
      </c>
      <c r="C33" s="26" t="str">
        <f aca="false">IF(Matching_Tb[[#This Row],[GL]] = "", "", Matching_Tb[[#This Row],[GL]])</f>
        <v/>
      </c>
      <c r="D33" s="50" t="str">
        <f aca="false">IF(Matching_Tb[[#This Row],[Competitor Name]] = "", "", Matching_Tb[[#This Row],[Competitor Name]])</f>
        <v/>
      </c>
      <c r="E33" s="26" t="str">
        <f aca="false">IF(Matching_Tb[[#This Row],[CMT  Set-up]] = "", "", Matching_Tb[[#This Row],[CMT  Set-up]])</f>
        <v/>
      </c>
      <c r="F33" s="27" t="str">
        <f aca="false">IF(Matching_Tb[[#This Row],[Start date]] = "", "", Matching_Tb[[#This Row],[Start date]])</f>
        <v/>
      </c>
      <c r="G33" s="27" t="str">
        <f aca="false">IF(Matching_Tb[[#This Row],[End date]] = "", "", Matching_Tb[[#This Row],[End date]])</f>
        <v/>
      </c>
      <c r="H33" s="51" t="str">
        <f aca="false">IF(Matching_Tb[[#This Row],[Competitor URL]] = "", "", Matching_Tb[[#This Row],[Competitor URL]])</f>
        <v/>
      </c>
      <c r="I33" s="26" t="str">
        <f aca="false">IF(Site_Content[[#This Row],[Competitor Name]] = "", "", IF(Matching_Tb[[#This Row],[Promo code]]="", "N/A", Matching_Tb[[#This Row],[Promo code]]))</f>
        <v/>
      </c>
      <c r="J33" s="26" t="str">
        <f aca="false">IF(Matching_Tb[[#This Row],[Offer Details]] = "", "", Matching_Tb[[#This Row],[Offer Details]])</f>
        <v/>
      </c>
      <c r="K33" s="51" t="str">
        <f aca="false">IF(Matching_Tb[[#This Row],[TT Link]]="", "", IF(Matching_Tb[[#This Row],[Can be matched ? ]] = "No", "", Matching_Tb[[#This Row],[TT Link]]))</f>
        <v/>
      </c>
      <c r="L33" s="26" t="str">
        <f aca="false">IF(Matching_Tb[[#This Row],[Can be matched ? ]] = "", "", Matching_Tb[[#This Row],[Can be matched ? ]])</f>
        <v/>
      </c>
      <c r="M33" s="41" t="str">
        <f aca="false">IF(Matching_Tb[[#This Row],[Rebate type]] = "", "", Matching_Tb[[#This Row],[Rebate type]])</f>
        <v/>
      </c>
      <c r="N33" s="26" t="str">
        <f aca="false">IF('Matching Sheet'!P33="", "", (IF(Site_Content[[#This Row],[Can be matched ? ]]="Yes", "Matched", Matching_Tb[[#This Row],[Comment]])))</f>
        <v/>
      </c>
    </row>
    <row r="34" customFormat="false" ht="14.25" hidden="false" customHeight="false" outlineLevel="0" collapsed="false">
      <c r="A34" s="26" t="str">
        <f aca="false">IF(Matching_Tb[[#This Row],[MKPL]] = "", "", Matching_Tb[[#This Row],[MKPL]])</f>
        <v/>
      </c>
      <c r="B34" s="26" t="str">
        <f aca="false">IF(Matching_Tb[[#This Row],[PL]] = "", "", Matching_Tb[[#This Row],[PL]])</f>
        <v/>
      </c>
      <c r="C34" s="26" t="str">
        <f aca="false">IF(Matching_Tb[[#This Row],[GL]] = "", "", Matching_Tb[[#This Row],[GL]])</f>
        <v/>
      </c>
      <c r="D34" s="50" t="str">
        <f aca="false">IF(Matching_Tb[[#This Row],[Competitor Name]] = "", "", Matching_Tb[[#This Row],[Competitor Name]])</f>
        <v/>
      </c>
      <c r="E34" s="26" t="str">
        <f aca="false">IF(Matching_Tb[[#This Row],[CMT  Set-up]] = "", "", Matching_Tb[[#This Row],[CMT  Set-up]])</f>
        <v/>
      </c>
      <c r="F34" s="27" t="str">
        <f aca="false">IF(Matching_Tb[[#This Row],[Start date]] = "", "", Matching_Tb[[#This Row],[Start date]])</f>
        <v/>
      </c>
      <c r="G34" s="27" t="str">
        <f aca="false">IF(Matching_Tb[[#This Row],[End date]] = "", "", Matching_Tb[[#This Row],[End date]])</f>
        <v/>
      </c>
      <c r="H34" s="51" t="str">
        <f aca="false">IF(Matching_Tb[[#This Row],[Competitor URL]] = "", "", Matching_Tb[[#This Row],[Competitor URL]])</f>
        <v/>
      </c>
      <c r="I34" s="26" t="str">
        <f aca="false">IF(Site_Content[[#This Row],[Competitor Name]] = "", "", IF(Matching_Tb[[#This Row],[Promo code]]="", "N/A", Matching_Tb[[#This Row],[Promo code]]))</f>
        <v/>
      </c>
      <c r="J34" s="26" t="str">
        <f aca="false">IF(Matching_Tb[[#This Row],[Offer Details]] = "", "", Matching_Tb[[#This Row],[Offer Details]])</f>
        <v/>
      </c>
      <c r="K34" s="51" t="str">
        <f aca="false">IF(Matching_Tb[[#This Row],[TT Link]]="", "", IF(Matching_Tb[[#This Row],[Can be matched ? ]] = "No", "", Matching_Tb[[#This Row],[TT Link]]))</f>
        <v/>
      </c>
      <c r="L34" s="26" t="str">
        <f aca="false">IF(Matching_Tb[[#This Row],[Can be matched ? ]] = "", "", Matching_Tb[[#This Row],[Can be matched ? ]])</f>
        <v/>
      </c>
      <c r="M34" s="41" t="str">
        <f aca="false">IF(Matching_Tb[[#This Row],[Rebate type]] = "", "", Matching_Tb[[#This Row],[Rebate type]])</f>
        <v/>
      </c>
      <c r="N34" s="26" t="str">
        <f aca="false">IF('Matching Sheet'!P34="", "", (IF(Site_Content[[#This Row],[Can be matched ? ]]="Yes", "Matched", Matching_Tb[[#This Row],[Comment]])))</f>
        <v/>
      </c>
    </row>
    <row r="35" customFormat="false" ht="14.25" hidden="false" customHeight="false" outlineLevel="0" collapsed="false">
      <c r="A35" s="26" t="str">
        <f aca="false">IF(Matching_Tb[[#This Row],[MKPL]] = "", "", Matching_Tb[[#This Row],[MKPL]])</f>
        <v/>
      </c>
      <c r="B35" s="26" t="str">
        <f aca="false">IF(Matching_Tb[[#This Row],[PL]] = "", "", Matching_Tb[[#This Row],[PL]])</f>
        <v/>
      </c>
      <c r="C35" s="26" t="str">
        <f aca="false">IF(Matching_Tb[[#This Row],[GL]] = "", "", Matching_Tb[[#This Row],[GL]])</f>
        <v/>
      </c>
      <c r="D35" s="50" t="str">
        <f aca="false">IF(Matching_Tb[[#This Row],[Competitor Name]] = "", "", Matching_Tb[[#This Row],[Competitor Name]])</f>
        <v/>
      </c>
      <c r="E35" s="26" t="str">
        <f aca="false">IF(Matching_Tb[[#This Row],[CMT  Set-up]] = "", "", Matching_Tb[[#This Row],[CMT  Set-up]])</f>
        <v/>
      </c>
      <c r="F35" s="27" t="str">
        <f aca="false">IF(Matching_Tb[[#This Row],[Start date]] = "", "", Matching_Tb[[#This Row],[Start date]])</f>
        <v/>
      </c>
      <c r="G35" s="27" t="str">
        <f aca="false">IF(Matching_Tb[[#This Row],[End date]] = "", "", Matching_Tb[[#This Row],[End date]])</f>
        <v/>
      </c>
      <c r="H35" s="51" t="str">
        <f aca="false">IF(Matching_Tb[[#This Row],[Competitor URL]] = "", "", Matching_Tb[[#This Row],[Competitor URL]])</f>
        <v/>
      </c>
      <c r="I35" s="26" t="str">
        <f aca="false">IF(Site_Content[[#This Row],[Competitor Name]] = "", "", IF(Matching_Tb[[#This Row],[Promo code]]="", "N/A", Matching_Tb[[#This Row],[Promo code]]))</f>
        <v/>
      </c>
      <c r="J35" s="26" t="str">
        <f aca="false">IF(Matching_Tb[[#This Row],[Offer Details]] = "", "", Matching_Tb[[#This Row],[Offer Details]])</f>
        <v/>
      </c>
      <c r="K35" s="51" t="str">
        <f aca="false">IF(Matching_Tb[[#This Row],[TT Link]]="", "", IF(Matching_Tb[[#This Row],[Can be matched ? ]] = "No", "", Matching_Tb[[#This Row],[TT Link]]))</f>
        <v/>
      </c>
      <c r="L35" s="26" t="str">
        <f aca="false">IF(Matching_Tb[[#This Row],[Can be matched ? ]] = "", "", Matching_Tb[[#This Row],[Can be matched ? ]])</f>
        <v/>
      </c>
      <c r="M35" s="41" t="str">
        <f aca="false">IF(Matching_Tb[[#This Row],[Rebate type]] = "", "", Matching_Tb[[#This Row],[Rebate type]])</f>
        <v/>
      </c>
      <c r="N35" s="26" t="str">
        <f aca="false">IF('Matching Sheet'!P35="", "", (IF(Site_Content[[#This Row],[Can be matched ? ]]="Yes", "Matched", Matching_Tb[[#This Row],[Comment]])))</f>
        <v/>
      </c>
    </row>
    <row r="36" customFormat="false" ht="14.25" hidden="false" customHeight="false" outlineLevel="0" collapsed="false">
      <c r="A36" s="26" t="str">
        <f aca="false">IF(Matching_Tb[[#This Row],[MKPL]] = "", "", Matching_Tb[[#This Row],[MKPL]])</f>
        <v/>
      </c>
      <c r="B36" s="26" t="str">
        <f aca="false">IF(Matching_Tb[[#This Row],[PL]] = "", "", Matching_Tb[[#This Row],[PL]])</f>
        <v/>
      </c>
      <c r="C36" s="26" t="str">
        <f aca="false">IF(Matching_Tb[[#This Row],[GL]] = "", "", Matching_Tb[[#This Row],[GL]])</f>
        <v/>
      </c>
      <c r="D36" s="50" t="str">
        <f aca="false">IF(Matching_Tb[[#This Row],[Competitor Name]] = "", "", Matching_Tb[[#This Row],[Competitor Name]])</f>
        <v/>
      </c>
      <c r="E36" s="26" t="str">
        <f aca="false">IF(Matching_Tb[[#This Row],[CMT  Set-up]] = "", "", Matching_Tb[[#This Row],[CMT  Set-up]])</f>
        <v/>
      </c>
      <c r="F36" s="27" t="str">
        <f aca="false">IF(Matching_Tb[[#This Row],[Start date]] = "", "", Matching_Tb[[#This Row],[Start date]])</f>
        <v/>
      </c>
      <c r="G36" s="27" t="str">
        <f aca="false">IF(Matching_Tb[[#This Row],[End date]] = "", "", Matching_Tb[[#This Row],[End date]])</f>
        <v/>
      </c>
      <c r="H36" s="51" t="str">
        <f aca="false">IF(Matching_Tb[[#This Row],[Competitor URL]] = "", "", Matching_Tb[[#This Row],[Competitor URL]])</f>
        <v/>
      </c>
      <c r="I36" s="26" t="str">
        <f aca="false">IF(Site_Content[[#This Row],[Competitor Name]] = "", "", IF(Matching_Tb[[#This Row],[Promo code]]="", "N/A", Matching_Tb[[#This Row],[Promo code]]))</f>
        <v/>
      </c>
      <c r="J36" s="26" t="str">
        <f aca="false">IF(Matching_Tb[[#This Row],[Offer Details]] = "", "", Matching_Tb[[#This Row],[Offer Details]])</f>
        <v/>
      </c>
      <c r="K36" s="51" t="str">
        <f aca="false">IF(Matching_Tb[[#This Row],[TT Link]]="", "", IF(Matching_Tb[[#This Row],[Can be matched ? ]] = "No", "", Matching_Tb[[#This Row],[TT Link]]))</f>
        <v/>
      </c>
      <c r="L36" s="26" t="str">
        <f aca="false">IF(Matching_Tb[[#This Row],[Can be matched ? ]] = "", "", Matching_Tb[[#This Row],[Can be matched ? ]])</f>
        <v/>
      </c>
      <c r="M36" s="41" t="str">
        <f aca="false">IF(Matching_Tb[[#This Row],[Rebate type]] = "", "", Matching_Tb[[#This Row],[Rebate type]])</f>
        <v/>
      </c>
      <c r="N36" s="26" t="str">
        <f aca="false">IF('Matching Sheet'!P36="", "", (IF(Site_Content[[#This Row],[Can be matched ? ]]="Yes", "Matched", Matching_Tb[[#This Row],[Comment]])))</f>
        <v/>
      </c>
    </row>
    <row r="37" customFormat="false" ht="14.25" hidden="false" customHeight="false" outlineLevel="0" collapsed="false">
      <c r="A37" s="26" t="str">
        <f aca="false">IF(Matching_Tb[[#This Row],[MKPL]] = "", "", Matching_Tb[[#This Row],[MKPL]])</f>
        <v/>
      </c>
      <c r="B37" s="26" t="str">
        <f aca="false">IF(Matching_Tb[[#This Row],[PL]] = "", "", Matching_Tb[[#This Row],[PL]])</f>
        <v/>
      </c>
      <c r="C37" s="26" t="str">
        <f aca="false">IF(Matching_Tb[[#This Row],[GL]] = "", "", Matching_Tb[[#This Row],[GL]])</f>
        <v/>
      </c>
      <c r="D37" s="50" t="str">
        <f aca="false">IF(Matching_Tb[[#This Row],[Competitor Name]] = "", "", Matching_Tb[[#This Row],[Competitor Name]])</f>
        <v/>
      </c>
      <c r="E37" s="26" t="str">
        <f aca="false">IF(Matching_Tb[[#This Row],[CMT  Set-up]] = "", "", Matching_Tb[[#This Row],[CMT  Set-up]])</f>
        <v/>
      </c>
      <c r="F37" s="27" t="str">
        <f aca="false">IF(Matching_Tb[[#This Row],[Start date]] = "", "", Matching_Tb[[#This Row],[Start date]])</f>
        <v/>
      </c>
      <c r="G37" s="27" t="str">
        <f aca="false">IF(Matching_Tb[[#This Row],[End date]] = "", "", Matching_Tb[[#This Row],[End date]])</f>
        <v/>
      </c>
      <c r="H37" s="51" t="str">
        <f aca="false">IF(Matching_Tb[[#This Row],[Competitor URL]] = "", "", Matching_Tb[[#This Row],[Competitor URL]])</f>
        <v/>
      </c>
      <c r="I37" s="26" t="str">
        <f aca="false">IF(Site_Content[[#This Row],[Competitor Name]] = "", "", IF(Matching_Tb[[#This Row],[Promo code]]="", "N/A", Matching_Tb[[#This Row],[Promo code]]))</f>
        <v/>
      </c>
      <c r="J37" s="26" t="str">
        <f aca="false">IF(Matching_Tb[[#This Row],[Offer Details]] = "", "", Matching_Tb[[#This Row],[Offer Details]])</f>
        <v/>
      </c>
      <c r="K37" s="51" t="str">
        <f aca="false">IF(Matching_Tb[[#This Row],[TT Link]]="", "", IF(Matching_Tb[[#This Row],[Can be matched ? ]] = "No", "", Matching_Tb[[#This Row],[TT Link]]))</f>
        <v/>
      </c>
      <c r="L37" s="26" t="str">
        <f aca="false">IF(Matching_Tb[[#This Row],[Can be matched ? ]] = "", "", Matching_Tb[[#This Row],[Can be matched ? ]])</f>
        <v/>
      </c>
      <c r="M37" s="41" t="str">
        <f aca="false">IF(Matching_Tb[[#This Row],[Rebate type]] = "", "", Matching_Tb[[#This Row],[Rebate type]])</f>
        <v/>
      </c>
      <c r="N37" s="26" t="str">
        <f aca="false">IF('Matching Sheet'!P37="", "", (IF(Site_Content[[#This Row],[Can be matched ? ]]="Yes", "Matched", Matching_Tb[[#This Row],[Comment]])))</f>
        <v/>
      </c>
    </row>
    <row r="38" customFormat="false" ht="14.25" hidden="false" customHeight="false" outlineLevel="0" collapsed="false">
      <c r="A38" s="26" t="str">
        <f aca="false">IF(Matching_Tb[[#This Row],[MKPL]] = "", "", Matching_Tb[[#This Row],[MKPL]])</f>
        <v/>
      </c>
      <c r="B38" s="26" t="str">
        <f aca="false">IF(Matching_Tb[[#This Row],[PL]] = "", "", Matching_Tb[[#This Row],[PL]])</f>
        <v/>
      </c>
      <c r="C38" s="26" t="str">
        <f aca="false">IF(Matching_Tb[[#This Row],[GL]] = "", "", Matching_Tb[[#This Row],[GL]])</f>
        <v/>
      </c>
      <c r="D38" s="50" t="str">
        <f aca="false">IF(Matching_Tb[[#This Row],[Competitor Name]] = "", "", Matching_Tb[[#This Row],[Competitor Name]])</f>
        <v/>
      </c>
      <c r="E38" s="26" t="str">
        <f aca="false">IF(Matching_Tb[[#This Row],[CMT  Set-up]] = "", "", Matching_Tb[[#This Row],[CMT  Set-up]])</f>
        <v/>
      </c>
      <c r="F38" s="27" t="str">
        <f aca="false">IF(Matching_Tb[[#This Row],[Start date]] = "", "", Matching_Tb[[#This Row],[Start date]])</f>
        <v/>
      </c>
      <c r="G38" s="27" t="str">
        <f aca="false">IF(Matching_Tb[[#This Row],[End date]] = "", "", Matching_Tb[[#This Row],[End date]])</f>
        <v/>
      </c>
      <c r="H38" s="51" t="str">
        <f aca="false">IF(Matching_Tb[[#This Row],[Competitor URL]] = "", "", Matching_Tb[[#This Row],[Competitor URL]])</f>
        <v/>
      </c>
      <c r="I38" s="26" t="str">
        <f aca="false">IF(Site_Content[[#This Row],[Competitor Name]] = "", "", IF(Matching_Tb[[#This Row],[Promo code]]="", "N/A", Matching_Tb[[#This Row],[Promo code]]))</f>
        <v/>
      </c>
      <c r="J38" s="26" t="str">
        <f aca="false">IF(Matching_Tb[[#This Row],[Offer Details]] = "", "", Matching_Tb[[#This Row],[Offer Details]])</f>
        <v/>
      </c>
      <c r="K38" s="51" t="str">
        <f aca="false">IF(Matching_Tb[[#This Row],[TT Link]]="", "", IF(Matching_Tb[[#This Row],[Can be matched ? ]] = "No", "", Matching_Tb[[#This Row],[TT Link]]))</f>
        <v/>
      </c>
      <c r="L38" s="26" t="str">
        <f aca="false">IF(Matching_Tb[[#This Row],[Can be matched ? ]] = "", "", Matching_Tb[[#This Row],[Can be matched ? ]])</f>
        <v/>
      </c>
      <c r="M38" s="41" t="str">
        <f aca="false">IF(Matching_Tb[[#This Row],[Rebate type]] = "", "", Matching_Tb[[#This Row],[Rebate type]])</f>
        <v/>
      </c>
      <c r="N38" s="26" t="str">
        <f aca="false">IF('Matching Sheet'!P38="", "", (IF(Site_Content[[#This Row],[Can be matched ? ]]="Yes", "Matched", Matching_Tb[[#This Row],[Comment]])))</f>
        <v/>
      </c>
    </row>
    <row r="39" customFormat="false" ht="14.25" hidden="false" customHeight="false" outlineLevel="0" collapsed="false">
      <c r="A39" s="26" t="str">
        <f aca="false">IF(Matching_Tb[[#This Row],[MKPL]] = "", "", Matching_Tb[[#This Row],[MKPL]])</f>
        <v/>
      </c>
      <c r="B39" s="26" t="str">
        <f aca="false">IF(Matching_Tb[[#This Row],[PL]] = "", "", Matching_Tb[[#This Row],[PL]])</f>
        <v/>
      </c>
      <c r="C39" s="26" t="str">
        <f aca="false">IF(Matching_Tb[[#This Row],[GL]] = "", "", Matching_Tb[[#This Row],[GL]])</f>
        <v/>
      </c>
      <c r="D39" s="50" t="str">
        <f aca="false">IF(Matching_Tb[[#This Row],[Competitor Name]] = "", "", Matching_Tb[[#This Row],[Competitor Name]])</f>
        <v/>
      </c>
      <c r="E39" s="26" t="str">
        <f aca="false">IF(Matching_Tb[[#This Row],[CMT  Set-up]] = "", "", Matching_Tb[[#This Row],[CMT  Set-up]])</f>
        <v/>
      </c>
      <c r="F39" s="27" t="str">
        <f aca="false">IF(Matching_Tb[[#This Row],[Start date]] = "", "", Matching_Tb[[#This Row],[Start date]])</f>
        <v/>
      </c>
      <c r="G39" s="27" t="str">
        <f aca="false">IF(Matching_Tb[[#This Row],[End date]] = "", "", Matching_Tb[[#This Row],[End date]])</f>
        <v/>
      </c>
      <c r="H39" s="51" t="str">
        <f aca="false">IF(Matching_Tb[[#This Row],[Competitor URL]] = "", "", Matching_Tb[[#This Row],[Competitor URL]])</f>
        <v/>
      </c>
      <c r="I39" s="26" t="str">
        <f aca="false">IF(Site_Content[[#This Row],[Competitor Name]] = "", "", IF(Matching_Tb[[#This Row],[Promo code]]="", "N/A", Matching_Tb[[#This Row],[Promo code]]))</f>
        <v/>
      </c>
      <c r="J39" s="26" t="str">
        <f aca="false">IF(Matching_Tb[[#This Row],[Offer Details]] = "", "", Matching_Tb[[#This Row],[Offer Details]])</f>
        <v/>
      </c>
      <c r="K39" s="51" t="str">
        <f aca="false">IF(Matching_Tb[[#This Row],[TT Link]]="", "", IF(Matching_Tb[[#This Row],[Can be matched ? ]] = "No", "", Matching_Tb[[#This Row],[TT Link]]))</f>
        <v/>
      </c>
      <c r="L39" s="26" t="str">
        <f aca="false">IF(Matching_Tb[[#This Row],[Can be matched ? ]] = "", "", Matching_Tb[[#This Row],[Can be matched ? ]])</f>
        <v/>
      </c>
      <c r="M39" s="41" t="str">
        <f aca="false">IF(Matching_Tb[[#This Row],[Rebate type]] = "", "", Matching_Tb[[#This Row],[Rebate type]])</f>
        <v/>
      </c>
      <c r="N39" s="26" t="str">
        <f aca="false">IF('Matching Sheet'!P39="", "", (IF(Site_Content[[#This Row],[Can be matched ? ]]="Yes", "Matched", Matching_Tb[[#This Row],[Comment]])))</f>
        <v/>
      </c>
    </row>
    <row r="40" customFormat="false" ht="14.25" hidden="false" customHeight="false" outlineLevel="0" collapsed="false">
      <c r="A40" s="26" t="str">
        <f aca="false">IF(Matching_Tb[[#This Row],[MKPL]] = "", "", Matching_Tb[[#This Row],[MKPL]])</f>
        <v/>
      </c>
      <c r="B40" s="26" t="str">
        <f aca="false">IF(Matching_Tb[[#This Row],[PL]] = "", "", Matching_Tb[[#This Row],[PL]])</f>
        <v/>
      </c>
      <c r="C40" s="26" t="str">
        <f aca="false">IF(Matching_Tb[[#This Row],[GL]] = "", "", Matching_Tb[[#This Row],[GL]])</f>
        <v/>
      </c>
      <c r="D40" s="50" t="str">
        <f aca="false">IF(Matching_Tb[[#This Row],[Competitor Name]] = "", "", Matching_Tb[[#This Row],[Competitor Name]])</f>
        <v/>
      </c>
      <c r="E40" s="26" t="str">
        <f aca="false">IF(Matching_Tb[[#This Row],[CMT  Set-up]] = "", "", Matching_Tb[[#This Row],[CMT  Set-up]])</f>
        <v/>
      </c>
      <c r="F40" s="27" t="str">
        <f aca="false">IF(Matching_Tb[[#This Row],[Start date]] = "", "", Matching_Tb[[#This Row],[Start date]])</f>
        <v/>
      </c>
      <c r="G40" s="27" t="str">
        <f aca="false">IF(Matching_Tb[[#This Row],[End date]] = "", "", Matching_Tb[[#This Row],[End date]])</f>
        <v/>
      </c>
      <c r="H40" s="51" t="str">
        <f aca="false">IF(Matching_Tb[[#This Row],[Competitor URL]] = "", "", Matching_Tb[[#This Row],[Competitor URL]])</f>
        <v/>
      </c>
      <c r="I40" s="26" t="str">
        <f aca="false">IF(Site_Content[[#This Row],[Competitor Name]] = "", "", IF(Matching_Tb[[#This Row],[Promo code]]="", "N/A", Matching_Tb[[#This Row],[Promo code]]))</f>
        <v/>
      </c>
      <c r="J40" s="26" t="str">
        <f aca="false">IF(Matching_Tb[[#This Row],[Offer Details]] = "", "", Matching_Tb[[#This Row],[Offer Details]])</f>
        <v/>
      </c>
      <c r="K40" s="51" t="str">
        <f aca="false">IF(Matching_Tb[[#This Row],[TT Link]]="", "", IF(Matching_Tb[[#This Row],[Can be matched ? ]] = "No", "", Matching_Tb[[#This Row],[TT Link]]))</f>
        <v/>
      </c>
      <c r="L40" s="26" t="str">
        <f aca="false">IF(Matching_Tb[[#This Row],[Can be matched ? ]] = "", "", Matching_Tb[[#This Row],[Can be matched ? ]])</f>
        <v/>
      </c>
      <c r="M40" s="41" t="str">
        <f aca="false">IF(Matching_Tb[[#This Row],[Rebate type]] = "", "", Matching_Tb[[#This Row],[Rebate type]])</f>
        <v/>
      </c>
      <c r="N40" s="26" t="str">
        <f aca="false">IF('Matching Sheet'!P40="", "", (IF(Site_Content[[#This Row],[Can be matched ? ]]="Yes", "Matched", Matching_Tb[[#This Row],[Comment]])))</f>
        <v/>
      </c>
    </row>
    <row r="41" customFormat="false" ht="14.25" hidden="false" customHeight="false" outlineLevel="0" collapsed="false">
      <c r="A41" s="26" t="str">
        <f aca="false">IF(Matching_Tb[[#This Row],[MKPL]] = "", "", Matching_Tb[[#This Row],[MKPL]])</f>
        <v/>
      </c>
      <c r="B41" s="26" t="str">
        <f aca="false">IF(Matching_Tb[[#This Row],[PL]] = "", "", Matching_Tb[[#This Row],[PL]])</f>
        <v/>
      </c>
      <c r="C41" s="26" t="str">
        <f aca="false">IF(Matching_Tb[[#This Row],[GL]] = "", "", Matching_Tb[[#This Row],[GL]])</f>
        <v/>
      </c>
      <c r="D41" s="50" t="str">
        <f aca="false">IF(Matching_Tb[[#This Row],[Competitor Name]] = "", "", Matching_Tb[[#This Row],[Competitor Name]])</f>
        <v/>
      </c>
      <c r="E41" s="26" t="str">
        <f aca="false">IF(Matching_Tb[[#This Row],[CMT  Set-up]] = "", "", Matching_Tb[[#This Row],[CMT  Set-up]])</f>
        <v/>
      </c>
      <c r="F41" s="27" t="str">
        <f aca="false">IF(Matching_Tb[[#This Row],[Start date]] = "", "", Matching_Tb[[#This Row],[Start date]])</f>
        <v/>
      </c>
      <c r="G41" s="27" t="str">
        <f aca="false">IF(Matching_Tb[[#This Row],[End date]] = "", "", Matching_Tb[[#This Row],[End date]])</f>
        <v/>
      </c>
      <c r="H41" s="51" t="str">
        <f aca="false">IF(Matching_Tb[[#This Row],[Competitor URL]] = "", "", Matching_Tb[[#This Row],[Competitor URL]])</f>
        <v/>
      </c>
      <c r="I41" s="26" t="str">
        <f aca="false">IF(Site_Content[[#This Row],[Competitor Name]] = "", "", IF(Matching_Tb[[#This Row],[Promo code]]="", "N/A", Matching_Tb[[#This Row],[Promo code]]))</f>
        <v/>
      </c>
      <c r="J41" s="26" t="str">
        <f aca="false">IF(Matching_Tb[[#This Row],[Offer Details]] = "", "", Matching_Tb[[#This Row],[Offer Details]])</f>
        <v/>
      </c>
      <c r="K41" s="51" t="str">
        <f aca="false">IF(Matching_Tb[[#This Row],[TT Link]]="", "", IF(Matching_Tb[[#This Row],[Can be matched ? ]] = "No", "", Matching_Tb[[#This Row],[TT Link]]))</f>
        <v/>
      </c>
      <c r="L41" s="26" t="str">
        <f aca="false">IF(Matching_Tb[[#This Row],[Can be matched ? ]] = "", "", Matching_Tb[[#This Row],[Can be matched ? ]])</f>
        <v/>
      </c>
      <c r="M41" s="41" t="str">
        <f aca="false">IF(Matching_Tb[[#This Row],[Rebate type]] = "", "", Matching_Tb[[#This Row],[Rebate type]])</f>
        <v/>
      </c>
      <c r="N41" s="26" t="str">
        <f aca="false">IF('Matching Sheet'!P41="", "", (IF(Site_Content[[#This Row],[Can be matched ? ]]="Yes", "Matched", Matching_Tb[[#This Row],[Comment]])))</f>
        <v/>
      </c>
    </row>
    <row r="42" customFormat="false" ht="14.25" hidden="false" customHeight="false" outlineLevel="0" collapsed="false">
      <c r="A42" s="26" t="str">
        <f aca="false">IF(Matching_Tb[[#This Row],[MKPL]] = "", "", Matching_Tb[[#This Row],[MKPL]])</f>
        <v/>
      </c>
      <c r="B42" s="26" t="str">
        <f aca="false">IF(Matching_Tb[[#This Row],[PL]] = "", "", Matching_Tb[[#This Row],[PL]])</f>
        <v/>
      </c>
      <c r="C42" s="26" t="str">
        <f aca="false">IF(Matching_Tb[[#This Row],[GL]] = "", "", Matching_Tb[[#This Row],[GL]])</f>
        <v/>
      </c>
      <c r="D42" s="50" t="str">
        <f aca="false">IF(Matching_Tb[[#This Row],[Competitor Name]] = "", "", Matching_Tb[[#This Row],[Competitor Name]])</f>
        <v/>
      </c>
      <c r="E42" s="26" t="str">
        <f aca="false">IF(Matching_Tb[[#This Row],[CMT  Set-up]] = "", "", Matching_Tb[[#This Row],[CMT  Set-up]])</f>
        <v/>
      </c>
      <c r="F42" s="27" t="str">
        <f aca="false">IF(Matching_Tb[[#This Row],[Start date]] = "", "", Matching_Tb[[#This Row],[Start date]])</f>
        <v/>
      </c>
      <c r="G42" s="27" t="str">
        <f aca="false">IF(Matching_Tb[[#This Row],[End date]] = "", "", Matching_Tb[[#This Row],[End date]])</f>
        <v/>
      </c>
      <c r="H42" s="51" t="str">
        <f aca="false">IF(Matching_Tb[[#This Row],[Competitor URL]] = "", "", Matching_Tb[[#This Row],[Competitor URL]])</f>
        <v/>
      </c>
      <c r="I42" s="26" t="str">
        <f aca="false">IF(Site_Content[[#This Row],[Competitor Name]] = "", "", IF(Matching_Tb[[#This Row],[Promo code]]="", "N/A", Matching_Tb[[#This Row],[Promo code]]))</f>
        <v/>
      </c>
      <c r="J42" s="26" t="str">
        <f aca="false">IF(Matching_Tb[[#This Row],[Offer Details]] = "", "", Matching_Tb[[#This Row],[Offer Details]])</f>
        <v/>
      </c>
      <c r="K42" s="51" t="str">
        <f aca="false">IF(Matching_Tb[[#This Row],[TT Link]]="", "", IF(Matching_Tb[[#This Row],[Can be matched ? ]] = "No", "", Matching_Tb[[#This Row],[TT Link]]))</f>
        <v/>
      </c>
      <c r="L42" s="26" t="str">
        <f aca="false">IF(Matching_Tb[[#This Row],[Can be matched ? ]] = "", "", Matching_Tb[[#This Row],[Can be matched ? ]])</f>
        <v/>
      </c>
      <c r="M42" s="41" t="str">
        <f aca="false">IF(Matching_Tb[[#This Row],[Rebate type]] = "", "", Matching_Tb[[#This Row],[Rebate type]])</f>
        <v/>
      </c>
      <c r="N42" s="26" t="str">
        <f aca="false">IF('Matching Sheet'!P42="", "", (IF(Site_Content[[#This Row],[Can be matched ? ]]="Yes", "Matched", Matching_Tb[[#This Row],[Comment]])))</f>
        <v/>
      </c>
    </row>
    <row r="43" customFormat="false" ht="14.25" hidden="false" customHeight="false" outlineLevel="0" collapsed="false">
      <c r="A43" s="26" t="str">
        <f aca="false">IF(Matching_Tb[[#This Row],[MKPL]] = "", "", Matching_Tb[[#This Row],[MKPL]])</f>
        <v/>
      </c>
      <c r="B43" s="26" t="str">
        <f aca="false">IF(Matching_Tb[[#This Row],[PL]] = "", "", Matching_Tb[[#This Row],[PL]])</f>
        <v/>
      </c>
      <c r="C43" s="26" t="str">
        <f aca="false">IF(Matching_Tb[[#This Row],[GL]] = "", "", Matching_Tb[[#This Row],[GL]])</f>
        <v/>
      </c>
      <c r="D43" s="50" t="str">
        <f aca="false">IF(Matching_Tb[[#This Row],[Competitor Name]] = "", "", Matching_Tb[[#This Row],[Competitor Name]])</f>
        <v/>
      </c>
      <c r="E43" s="26" t="str">
        <f aca="false">IF(Matching_Tb[[#This Row],[CMT  Set-up]] = "", "", Matching_Tb[[#This Row],[CMT  Set-up]])</f>
        <v/>
      </c>
      <c r="F43" s="27" t="str">
        <f aca="false">IF(Matching_Tb[[#This Row],[Start date]] = "", "", Matching_Tb[[#This Row],[Start date]])</f>
        <v/>
      </c>
      <c r="G43" s="27" t="str">
        <f aca="false">IF(Matching_Tb[[#This Row],[End date]] = "", "", Matching_Tb[[#This Row],[End date]])</f>
        <v/>
      </c>
      <c r="H43" s="51" t="str">
        <f aca="false">IF(Matching_Tb[[#This Row],[Competitor URL]] = "", "", Matching_Tb[[#This Row],[Competitor URL]])</f>
        <v/>
      </c>
      <c r="I43" s="26" t="str">
        <f aca="false">IF(Site_Content[[#This Row],[Competitor Name]] = "", "", IF(Matching_Tb[[#This Row],[Promo code]]="", "N/A", Matching_Tb[[#This Row],[Promo code]]))</f>
        <v/>
      </c>
      <c r="J43" s="26" t="str">
        <f aca="false">IF(Matching_Tb[[#This Row],[Offer Details]] = "", "", Matching_Tb[[#This Row],[Offer Details]])</f>
        <v/>
      </c>
      <c r="K43" s="51" t="str">
        <f aca="false">IF(Matching_Tb[[#This Row],[TT Link]]="", "", IF(Matching_Tb[[#This Row],[Can be matched ? ]] = "No", "", Matching_Tb[[#This Row],[TT Link]]))</f>
        <v/>
      </c>
      <c r="L43" s="26" t="str">
        <f aca="false">IF(Matching_Tb[[#This Row],[Can be matched ? ]] = "", "", Matching_Tb[[#This Row],[Can be matched ? ]])</f>
        <v/>
      </c>
      <c r="M43" s="41" t="str">
        <f aca="false">IF(Matching_Tb[[#This Row],[Rebate type]] = "", "", Matching_Tb[[#This Row],[Rebate type]])</f>
        <v/>
      </c>
      <c r="N43" s="26" t="str">
        <f aca="false">IF('Matching Sheet'!P43="", "", (IF(Site_Content[[#This Row],[Can be matched ? ]]="Yes", "Matched", Matching_Tb[[#This Row],[Comment]])))</f>
        <v/>
      </c>
    </row>
    <row r="44" customFormat="false" ht="14.25" hidden="false" customHeight="false" outlineLevel="0" collapsed="false">
      <c r="A44" s="26" t="str">
        <f aca="false">IF(Matching_Tb[[#This Row],[MKPL]] = "", "", Matching_Tb[[#This Row],[MKPL]])</f>
        <v/>
      </c>
      <c r="B44" s="26" t="str">
        <f aca="false">IF(Matching_Tb[[#This Row],[PL]] = "", "", Matching_Tb[[#This Row],[PL]])</f>
        <v/>
      </c>
      <c r="C44" s="26" t="str">
        <f aca="false">IF(Matching_Tb[[#This Row],[GL]] = "", "", Matching_Tb[[#This Row],[GL]])</f>
        <v/>
      </c>
      <c r="D44" s="50" t="str">
        <f aca="false">IF(Matching_Tb[[#This Row],[Competitor Name]] = "", "", Matching_Tb[[#This Row],[Competitor Name]])</f>
        <v/>
      </c>
      <c r="E44" s="26" t="str">
        <f aca="false">IF(Matching_Tb[[#This Row],[CMT  Set-up]] = "", "", Matching_Tb[[#This Row],[CMT  Set-up]])</f>
        <v/>
      </c>
      <c r="F44" s="27" t="str">
        <f aca="false">IF(Matching_Tb[[#This Row],[Start date]] = "", "", Matching_Tb[[#This Row],[Start date]])</f>
        <v/>
      </c>
      <c r="G44" s="27" t="str">
        <f aca="false">IF(Matching_Tb[[#This Row],[End date]] = "", "", Matching_Tb[[#This Row],[End date]])</f>
        <v/>
      </c>
      <c r="H44" s="51" t="str">
        <f aca="false">IF(Matching_Tb[[#This Row],[Competitor URL]] = "", "", Matching_Tb[[#This Row],[Competitor URL]])</f>
        <v/>
      </c>
      <c r="I44" s="26" t="str">
        <f aca="false">IF(Site_Content[[#This Row],[Competitor Name]] = "", "", IF(Matching_Tb[[#This Row],[Promo code]]="", "N/A", Matching_Tb[[#This Row],[Promo code]]))</f>
        <v/>
      </c>
      <c r="J44" s="26" t="str">
        <f aca="false">IF(Matching_Tb[[#This Row],[Offer Details]] = "", "", Matching_Tb[[#This Row],[Offer Details]])</f>
        <v/>
      </c>
      <c r="K44" s="51" t="str">
        <f aca="false">IF(Matching_Tb[[#This Row],[TT Link]]="", "", IF(Matching_Tb[[#This Row],[Can be matched ? ]] = "No", "", Matching_Tb[[#This Row],[TT Link]]))</f>
        <v/>
      </c>
      <c r="L44" s="26" t="str">
        <f aca="false">IF(Matching_Tb[[#This Row],[Can be matched ? ]] = "", "", Matching_Tb[[#This Row],[Can be matched ? ]])</f>
        <v/>
      </c>
      <c r="M44" s="41" t="str">
        <f aca="false">IF(Matching_Tb[[#This Row],[Rebate type]] = "", "", Matching_Tb[[#This Row],[Rebate type]])</f>
        <v/>
      </c>
      <c r="N44" s="26" t="str">
        <f aca="false">IF('Matching Sheet'!P44="", "", (IF(Site_Content[[#This Row],[Can be matched ? ]]="Yes", "Matched", Matching_Tb[[#This Row],[Comment]])))</f>
        <v/>
      </c>
    </row>
    <row r="45" customFormat="false" ht="14.25" hidden="false" customHeight="false" outlineLevel="0" collapsed="false">
      <c r="A45" s="26" t="str">
        <f aca="false">IF(Matching_Tb[[#This Row],[MKPL]] = "", "", Matching_Tb[[#This Row],[MKPL]])</f>
        <v/>
      </c>
      <c r="B45" s="26" t="str">
        <f aca="false">IF(Matching_Tb[[#This Row],[PL]] = "", "", Matching_Tb[[#This Row],[PL]])</f>
        <v/>
      </c>
      <c r="C45" s="26" t="str">
        <f aca="false">IF(Matching_Tb[[#This Row],[GL]] = "", "", Matching_Tb[[#This Row],[GL]])</f>
        <v/>
      </c>
      <c r="D45" s="50" t="str">
        <f aca="false">IF(Matching_Tb[[#This Row],[Competitor Name]] = "", "", Matching_Tb[[#This Row],[Competitor Name]])</f>
        <v/>
      </c>
      <c r="E45" s="26" t="str">
        <f aca="false">IF(Matching_Tb[[#This Row],[CMT  Set-up]] = "", "", Matching_Tb[[#This Row],[CMT  Set-up]])</f>
        <v/>
      </c>
      <c r="F45" s="27" t="str">
        <f aca="false">IF(Matching_Tb[[#This Row],[Start date]] = "", "", Matching_Tb[[#This Row],[Start date]])</f>
        <v/>
      </c>
      <c r="G45" s="27" t="str">
        <f aca="false">IF(Matching_Tb[[#This Row],[End date]] = "", "", Matching_Tb[[#This Row],[End date]])</f>
        <v/>
      </c>
      <c r="H45" s="51" t="str">
        <f aca="false">IF(Matching_Tb[[#This Row],[Competitor URL]] = "", "", Matching_Tb[[#This Row],[Competitor URL]])</f>
        <v/>
      </c>
      <c r="I45" s="26" t="str">
        <f aca="false">IF(Site_Content[[#This Row],[Competitor Name]] = "", "", IF(Matching_Tb[[#This Row],[Promo code]]="", "N/A", Matching_Tb[[#This Row],[Promo code]]))</f>
        <v/>
      </c>
      <c r="J45" s="26" t="str">
        <f aca="false">IF(Matching_Tb[[#This Row],[Offer Details]] = "", "", Matching_Tb[[#This Row],[Offer Details]])</f>
        <v/>
      </c>
      <c r="K45" s="51" t="str">
        <f aca="false">IF(Matching_Tb[[#This Row],[TT Link]]="", "", IF(Matching_Tb[[#This Row],[Can be matched ? ]] = "No", "", Matching_Tb[[#This Row],[TT Link]]))</f>
        <v/>
      </c>
      <c r="L45" s="26" t="str">
        <f aca="false">IF(Matching_Tb[[#This Row],[Can be matched ? ]] = "", "", Matching_Tb[[#This Row],[Can be matched ? ]])</f>
        <v/>
      </c>
      <c r="M45" s="41" t="str">
        <f aca="false">IF(Matching_Tb[[#This Row],[Rebate type]] = "", "", Matching_Tb[[#This Row],[Rebate type]])</f>
        <v/>
      </c>
      <c r="N45" s="26" t="str">
        <f aca="false">IF('Matching Sheet'!P45="", "", (IF(Site_Content[[#This Row],[Can be matched ? ]]="Yes", "Matched", Matching_Tb[[#This Row],[Comment]])))</f>
        <v/>
      </c>
    </row>
    <row r="46" customFormat="false" ht="14.25" hidden="false" customHeight="false" outlineLevel="0" collapsed="false">
      <c r="A46" s="26" t="str">
        <f aca="false">IF(Matching_Tb[[#This Row],[MKPL]] = "", "", Matching_Tb[[#This Row],[MKPL]])</f>
        <v/>
      </c>
      <c r="B46" s="26" t="str">
        <f aca="false">IF(Matching_Tb[[#This Row],[PL]] = "", "", Matching_Tb[[#This Row],[PL]])</f>
        <v/>
      </c>
      <c r="C46" s="26" t="str">
        <f aca="false">IF(Matching_Tb[[#This Row],[GL]] = "", "", Matching_Tb[[#This Row],[GL]])</f>
        <v/>
      </c>
      <c r="D46" s="50" t="str">
        <f aca="false">IF(Matching_Tb[[#This Row],[Competitor Name]] = "", "", Matching_Tb[[#This Row],[Competitor Name]])</f>
        <v/>
      </c>
      <c r="E46" s="26" t="str">
        <f aca="false">IF(Matching_Tb[[#This Row],[CMT  Set-up]] = "", "", Matching_Tb[[#This Row],[CMT  Set-up]])</f>
        <v/>
      </c>
      <c r="F46" s="27" t="str">
        <f aca="false">IF(Matching_Tb[[#This Row],[Start date]] = "", "", Matching_Tb[[#This Row],[Start date]])</f>
        <v/>
      </c>
      <c r="G46" s="27" t="str">
        <f aca="false">IF(Matching_Tb[[#This Row],[End date]] = "", "", Matching_Tb[[#This Row],[End date]])</f>
        <v/>
      </c>
      <c r="H46" s="51" t="str">
        <f aca="false">IF(Matching_Tb[[#This Row],[Competitor URL]] = "", "", Matching_Tb[[#This Row],[Competitor URL]])</f>
        <v/>
      </c>
      <c r="I46" s="26" t="str">
        <f aca="false">IF(Site_Content[[#This Row],[Competitor Name]] = "", "", IF(Matching_Tb[[#This Row],[Promo code]]="", "N/A", Matching_Tb[[#This Row],[Promo code]]))</f>
        <v/>
      </c>
      <c r="J46" s="26" t="str">
        <f aca="false">IF(Matching_Tb[[#This Row],[Offer Details]] = "", "", Matching_Tb[[#This Row],[Offer Details]])</f>
        <v/>
      </c>
      <c r="K46" s="51" t="str">
        <f aca="false">IF(Matching_Tb[[#This Row],[TT Link]]="", "", IF(Matching_Tb[[#This Row],[Can be matched ? ]] = "No", "", Matching_Tb[[#This Row],[TT Link]]))</f>
        <v/>
      </c>
      <c r="L46" s="26" t="str">
        <f aca="false">IF(Matching_Tb[[#This Row],[Can be matched ? ]] = "", "", Matching_Tb[[#This Row],[Can be matched ? ]])</f>
        <v/>
      </c>
      <c r="M46" s="41" t="str">
        <f aca="false">IF(Matching_Tb[[#This Row],[Rebate type]] = "", "", Matching_Tb[[#This Row],[Rebate type]])</f>
        <v/>
      </c>
      <c r="N46" s="26" t="str">
        <f aca="false">IF('Matching Sheet'!P46="", "", (IF(Site_Content[[#This Row],[Can be matched ? ]]="Yes", "Matched", Matching_Tb[[#This Row],[Comment]])))</f>
        <v/>
      </c>
    </row>
    <row r="47" customFormat="false" ht="14.25" hidden="false" customHeight="false" outlineLevel="0" collapsed="false">
      <c r="A47" s="26" t="str">
        <f aca="false">IF(Matching_Tb[[#This Row],[MKPL]] = "", "", Matching_Tb[[#This Row],[MKPL]])</f>
        <v/>
      </c>
      <c r="B47" s="26" t="str">
        <f aca="false">IF(Matching_Tb[[#This Row],[PL]] = "", "", Matching_Tb[[#This Row],[PL]])</f>
        <v/>
      </c>
      <c r="C47" s="26" t="str">
        <f aca="false">IF(Matching_Tb[[#This Row],[GL]] = "", "", Matching_Tb[[#This Row],[GL]])</f>
        <v/>
      </c>
      <c r="D47" s="50" t="str">
        <f aca="false">IF(Matching_Tb[[#This Row],[Competitor Name]] = "", "", Matching_Tb[[#This Row],[Competitor Name]])</f>
        <v/>
      </c>
      <c r="E47" s="26" t="str">
        <f aca="false">IF(Matching_Tb[[#This Row],[CMT  Set-up]] = "", "", Matching_Tb[[#This Row],[CMT  Set-up]])</f>
        <v/>
      </c>
      <c r="F47" s="27" t="str">
        <f aca="false">IF(Matching_Tb[[#This Row],[Start date]] = "", "", Matching_Tb[[#This Row],[Start date]])</f>
        <v/>
      </c>
      <c r="G47" s="27" t="str">
        <f aca="false">IF(Matching_Tb[[#This Row],[End date]] = "", "", Matching_Tb[[#This Row],[End date]])</f>
        <v/>
      </c>
      <c r="H47" s="51" t="str">
        <f aca="false">IF(Matching_Tb[[#This Row],[Competitor URL]] = "", "", Matching_Tb[[#This Row],[Competitor URL]])</f>
        <v/>
      </c>
      <c r="I47" s="26" t="str">
        <f aca="false">IF(Site_Content[[#This Row],[Competitor Name]] = "", "", IF(Matching_Tb[[#This Row],[Promo code]]="", "N/A", Matching_Tb[[#This Row],[Promo code]]))</f>
        <v/>
      </c>
      <c r="J47" s="26" t="str">
        <f aca="false">IF(Matching_Tb[[#This Row],[Offer Details]] = "", "", Matching_Tb[[#This Row],[Offer Details]])</f>
        <v/>
      </c>
      <c r="K47" s="51" t="str">
        <f aca="false">IF(Matching_Tb[[#This Row],[TT Link]]="", "", IF(Matching_Tb[[#This Row],[Can be matched ? ]] = "No", "", Matching_Tb[[#This Row],[TT Link]]))</f>
        <v/>
      </c>
      <c r="L47" s="26" t="str">
        <f aca="false">IF(Matching_Tb[[#This Row],[Can be matched ? ]] = "", "", Matching_Tb[[#This Row],[Can be matched ? ]])</f>
        <v/>
      </c>
      <c r="M47" s="41" t="str">
        <f aca="false">IF(Matching_Tb[[#This Row],[Rebate type]] = "", "", Matching_Tb[[#This Row],[Rebate type]])</f>
        <v/>
      </c>
      <c r="N47" s="26" t="str">
        <f aca="false">IF('Matching Sheet'!P47="", "", (IF(Site_Content[[#This Row],[Can be matched ? ]]="Yes", "Matched", Matching_Tb[[#This Row],[Comment]])))</f>
        <v/>
      </c>
    </row>
    <row r="48" customFormat="false" ht="14.25" hidden="false" customHeight="false" outlineLevel="0" collapsed="false">
      <c r="A48" s="26" t="str">
        <f aca="false">IF(Matching_Tb[[#This Row],[MKPL]] = "", "", Matching_Tb[[#This Row],[MKPL]])</f>
        <v/>
      </c>
      <c r="B48" s="26" t="str">
        <f aca="false">IF(Matching_Tb[[#This Row],[PL]] = "", "", Matching_Tb[[#This Row],[PL]])</f>
        <v/>
      </c>
      <c r="C48" s="26" t="str">
        <f aca="false">IF(Matching_Tb[[#This Row],[GL]] = "", "", Matching_Tb[[#This Row],[GL]])</f>
        <v/>
      </c>
      <c r="D48" s="50" t="str">
        <f aca="false">IF(Matching_Tb[[#This Row],[Competitor Name]] = "", "", Matching_Tb[[#This Row],[Competitor Name]])</f>
        <v/>
      </c>
      <c r="E48" s="26" t="str">
        <f aca="false">IF(Matching_Tb[[#This Row],[CMT  Set-up]] = "", "", Matching_Tb[[#This Row],[CMT  Set-up]])</f>
        <v/>
      </c>
      <c r="F48" s="27" t="str">
        <f aca="false">IF(Matching_Tb[[#This Row],[Start date]] = "", "", Matching_Tb[[#This Row],[Start date]])</f>
        <v/>
      </c>
      <c r="G48" s="27" t="str">
        <f aca="false">IF(Matching_Tb[[#This Row],[End date]] = "", "", Matching_Tb[[#This Row],[End date]])</f>
        <v/>
      </c>
      <c r="H48" s="51" t="str">
        <f aca="false">IF(Matching_Tb[[#This Row],[Competitor URL]] = "", "", Matching_Tb[[#This Row],[Competitor URL]])</f>
        <v/>
      </c>
      <c r="I48" s="26" t="str">
        <f aca="false">IF(Site_Content[[#This Row],[Competitor Name]] = "", "", IF(Matching_Tb[[#This Row],[Promo code]]="", "N/A", Matching_Tb[[#This Row],[Promo code]]))</f>
        <v/>
      </c>
      <c r="J48" s="26" t="str">
        <f aca="false">IF(Matching_Tb[[#This Row],[Offer Details]] = "", "", Matching_Tb[[#This Row],[Offer Details]])</f>
        <v/>
      </c>
      <c r="K48" s="51" t="str">
        <f aca="false">IF(Matching_Tb[[#This Row],[TT Link]]="", "", IF(Matching_Tb[[#This Row],[Can be matched ? ]] = "No", "", Matching_Tb[[#This Row],[TT Link]]))</f>
        <v/>
      </c>
      <c r="L48" s="26" t="str">
        <f aca="false">IF(Matching_Tb[[#This Row],[Can be matched ? ]] = "", "", Matching_Tb[[#This Row],[Can be matched ? ]])</f>
        <v/>
      </c>
      <c r="M48" s="41" t="str">
        <f aca="false">IF(Matching_Tb[[#This Row],[Rebate type]] = "", "", Matching_Tb[[#This Row],[Rebate type]])</f>
        <v/>
      </c>
      <c r="N48" s="26" t="str">
        <f aca="false">IF('Matching Sheet'!P48="", "", (IF(Site_Content[[#This Row],[Can be matched ? ]]="Yes", "Matched", Matching_Tb[[#This Row],[Comment]])))</f>
        <v/>
      </c>
    </row>
    <row r="49" customFormat="false" ht="14.25" hidden="false" customHeight="false" outlineLevel="0" collapsed="false">
      <c r="A49" s="26" t="str">
        <f aca="false">IF(Matching_Tb[[#This Row],[MKPL]] = "", "", Matching_Tb[[#This Row],[MKPL]])</f>
        <v/>
      </c>
      <c r="B49" s="26" t="str">
        <f aca="false">IF(Matching_Tb[[#This Row],[PL]] = "", "", Matching_Tb[[#This Row],[PL]])</f>
        <v/>
      </c>
      <c r="C49" s="26" t="str">
        <f aca="false">IF(Matching_Tb[[#This Row],[GL]] = "", "", Matching_Tb[[#This Row],[GL]])</f>
        <v/>
      </c>
      <c r="D49" s="50" t="str">
        <f aca="false">IF(Matching_Tb[[#This Row],[Competitor Name]] = "", "", Matching_Tb[[#This Row],[Competitor Name]])</f>
        <v/>
      </c>
      <c r="E49" s="26" t="str">
        <f aca="false">IF(Matching_Tb[[#This Row],[CMT  Set-up]] = "", "", Matching_Tb[[#This Row],[CMT  Set-up]])</f>
        <v/>
      </c>
      <c r="F49" s="27" t="str">
        <f aca="false">IF(Matching_Tb[[#This Row],[Start date]] = "", "", Matching_Tb[[#This Row],[Start date]])</f>
        <v/>
      </c>
      <c r="G49" s="27" t="str">
        <f aca="false">IF(Matching_Tb[[#This Row],[End date]] = "", "", Matching_Tb[[#This Row],[End date]])</f>
        <v/>
      </c>
      <c r="H49" s="51" t="str">
        <f aca="false">IF(Matching_Tb[[#This Row],[Competitor URL]] = "", "", Matching_Tb[[#This Row],[Competitor URL]])</f>
        <v/>
      </c>
      <c r="I49" s="26" t="str">
        <f aca="false">IF(Site_Content[[#This Row],[Competitor Name]] = "", "", IF(Matching_Tb[[#This Row],[Promo code]]="", "N/A", Matching_Tb[[#This Row],[Promo code]]))</f>
        <v/>
      </c>
      <c r="J49" s="26" t="str">
        <f aca="false">IF(Matching_Tb[[#This Row],[Offer Details]] = "", "", Matching_Tb[[#This Row],[Offer Details]])</f>
        <v/>
      </c>
      <c r="K49" s="51" t="str">
        <f aca="false">IF(Matching_Tb[[#This Row],[TT Link]]="", "", IF(Matching_Tb[[#This Row],[Can be matched ? ]] = "No", "", Matching_Tb[[#This Row],[TT Link]]))</f>
        <v/>
      </c>
      <c r="L49" s="26" t="str">
        <f aca="false">IF(Matching_Tb[[#This Row],[Can be matched ? ]] = "", "", Matching_Tb[[#This Row],[Can be matched ? ]])</f>
        <v/>
      </c>
      <c r="M49" s="41" t="str">
        <f aca="false">IF(Matching_Tb[[#This Row],[Rebate type]] = "", "", Matching_Tb[[#This Row],[Rebate type]])</f>
        <v/>
      </c>
      <c r="N49" s="26" t="str">
        <f aca="false">IF('Matching Sheet'!P49="", "", (IF(Site_Content[[#This Row],[Can be matched ? ]]="Yes", "Matched", Matching_Tb[[#This Row],[Comment]])))</f>
        <v/>
      </c>
    </row>
    <row r="50" customFormat="false" ht="14.25" hidden="false" customHeight="false" outlineLevel="0" collapsed="false">
      <c r="A50" s="26" t="str">
        <f aca="false">IF(Matching_Tb[[#This Row],[MKPL]] = "", "", Matching_Tb[[#This Row],[MKPL]])</f>
        <v/>
      </c>
      <c r="B50" s="26" t="str">
        <f aca="false">IF(Matching_Tb[[#This Row],[PL]] = "", "", Matching_Tb[[#This Row],[PL]])</f>
        <v/>
      </c>
      <c r="C50" s="26" t="str">
        <f aca="false">IF(Matching_Tb[[#This Row],[GL]] = "", "", Matching_Tb[[#This Row],[GL]])</f>
        <v/>
      </c>
      <c r="D50" s="50" t="str">
        <f aca="false">IF(Matching_Tb[[#This Row],[Competitor Name]] = "", "", Matching_Tb[[#This Row],[Competitor Name]])</f>
        <v/>
      </c>
      <c r="E50" s="26" t="str">
        <f aca="false">IF(Matching_Tb[[#This Row],[CMT  Set-up]] = "", "", Matching_Tb[[#This Row],[CMT  Set-up]])</f>
        <v/>
      </c>
      <c r="F50" s="27" t="str">
        <f aca="false">IF(Matching_Tb[[#This Row],[Start date]] = "", "", Matching_Tb[[#This Row],[Start date]])</f>
        <v/>
      </c>
      <c r="G50" s="27" t="str">
        <f aca="false">IF(Matching_Tb[[#This Row],[End date]] = "", "", Matching_Tb[[#This Row],[End date]])</f>
        <v/>
      </c>
      <c r="H50" s="51" t="str">
        <f aca="false">IF(Matching_Tb[[#This Row],[Competitor URL]] = "", "", Matching_Tb[[#This Row],[Competitor URL]])</f>
        <v/>
      </c>
      <c r="I50" s="26" t="str">
        <f aca="false">IF(Site_Content[[#This Row],[Competitor Name]] = "", "", IF(Matching_Tb[[#This Row],[Promo code]]="", "N/A", Matching_Tb[[#This Row],[Promo code]]))</f>
        <v/>
      </c>
      <c r="J50" s="26" t="str">
        <f aca="false">IF(Matching_Tb[[#This Row],[Offer Details]] = "", "", Matching_Tb[[#This Row],[Offer Details]])</f>
        <v/>
      </c>
      <c r="K50" s="51" t="str">
        <f aca="false">IF(Matching_Tb[[#This Row],[TT Link]]="", "", IF(Matching_Tb[[#This Row],[Can be matched ? ]] = "No", "", Matching_Tb[[#This Row],[TT Link]]))</f>
        <v/>
      </c>
      <c r="L50" s="26" t="str">
        <f aca="false">IF(Matching_Tb[[#This Row],[Can be matched ? ]] = "", "", Matching_Tb[[#This Row],[Can be matched ? ]])</f>
        <v/>
      </c>
      <c r="M50" s="41" t="str">
        <f aca="false">IF(Matching_Tb[[#This Row],[Rebate type]] = "", "", Matching_Tb[[#This Row],[Rebate type]])</f>
        <v/>
      </c>
      <c r="N50" s="26" t="str">
        <f aca="false">IF('Matching Sheet'!P50="", "", (IF(Site_Content[[#This Row],[Can be matched ? ]]="Yes", "Matched", Matching_Tb[[#This Row],[Comment]])))</f>
        <v/>
      </c>
    </row>
    <row r="51" customFormat="false" ht="14.25" hidden="false" customHeight="false" outlineLevel="0" collapsed="false">
      <c r="A51" s="26" t="str">
        <f aca="false">IF(Matching_Tb[[#This Row],[MKPL]] = "", "", Matching_Tb[[#This Row],[MKPL]])</f>
        <v/>
      </c>
      <c r="B51" s="26" t="str">
        <f aca="false">IF(Matching_Tb[[#This Row],[PL]] = "", "", Matching_Tb[[#This Row],[PL]])</f>
        <v/>
      </c>
      <c r="C51" s="26" t="str">
        <f aca="false">IF(Matching_Tb[[#This Row],[GL]] = "", "", Matching_Tb[[#This Row],[GL]])</f>
        <v/>
      </c>
      <c r="D51" s="50" t="str">
        <f aca="false">IF(Matching_Tb[[#This Row],[Competitor Name]] = "", "", Matching_Tb[[#This Row],[Competitor Name]])</f>
        <v/>
      </c>
      <c r="E51" s="26" t="str">
        <f aca="false">IF(Matching_Tb[[#This Row],[CMT  Set-up]] = "", "", Matching_Tb[[#This Row],[CMT  Set-up]])</f>
        <v/>
      </c>
      <c r="F51" s="27" t="str">
        <f aca="false">IF(Matching_Tb[[#This Row],[Start date]] = "", "", Matching_Tb[[#This Row],[Start date]])</f>
        <v/>
      </c>
      <c r="G51" s="27" t="str">
        <f aca="false">IF(Matching_Tb[[#This Row],[End date]] = "", "", Matching_Tb[[#This Row],[End date]])</f>
        <v/>
      </c>
      <c r="H51" s="51" t="str">
        <f aca="false">IF(Matching_Tb[[#This Row],[Competitor URL]] = "", "", Matching_Tb[[#This Row],[Competitor URL]])</f>
        <v/>
      </c>
      <c r="I51" s="26" t="str">
        <f aca="false">IF(Site_Content[[#This Row],[Competitor Name]] = "", "", IF(Matching_Tb[[#This Row],[Promo code]]="", "N/A", Matching_Tb[[#This Row],[Promo code]]))</f>
        <v/>
      </c>
      <c r="J51" s="26" t="str">
        <f aca="false">IF(Matching_Tb[[#This Row],[Offer Details]] = "", "", Matching_Tb[[#This Row],[Offer Details]])</f>
        <v/>
      </c>
      <c r="K51" s="51" t="str">
        <f aca="false">IF(Matching_Tb[[#This Row],[TT Link]]="", "", IF(Matching_Tb[[#This Row],[Can be matched ? ]] = "No", "", Matching_Tb[[#This Row],[TT Link]]))</f>
        <v/>
      </c>
      <c r="L51" s="26" t="str">
        <f aca="false">IF(Matching_Tb[[#This Row],[Can be matched ? ]] = "", "", Matching_Tb[[#This Row],[Can be matched ? ]])</f>
        <v/>
      </c>
      <c r="M51" s="41" t="str">
        <f aca="false">IF(Matching_Tb[[#This Row],[Rebate type]] = "", "", Matching_Tb[[#This Row],[Rebate type]])</f>
        <v/>
      </c>
      <c r="N51" s="26" t="str">
        <f aca="false">IF('Matching Sheet'!P51="", "", (IF(Site_Content[[#This Row],[Can be matched ? ]]="Yes", "Matched", Matching_Tb[[#This Row],[Comment]])))</f>
        <v/>
      </c>
    </row>
    <row r="52" customFormat="false" ht="14.25" hidden="false" customHeight="false" outlineLevel="0" collapsed="false">
      <c r="A52" s="26" t="str">
        <f aca="false">IF(Matching_Tb[[#This Row],[MKPL]] = "", "", Matching_Tb[[#This Row],[MKPL]])</f>
        <v/>
      </c>
      <c r="B52" s="26" t="str">
        <f aca="false">IF(Matching_Tb[[#This Row],[PL]] = "", "", Matching_Tb[[#This Row],[PL]])</f>
        <v/>
      </c>
      <c r="C52" s="26" t="str">
        <f aca="false">IF(Matching_Tb[[#This Row],[GL]] = "", "", Matching_Tb[[#This Row],[GL]])</f>
        <v/>
      </c>
      <c r="D52" s="50" t="str">
        <f aca="false">IF(Matching_Tb[[#This Row],[Competitor Name]] = "", "", Matching_Tb[[#This Row],[Competitor Name]])</f>
        <v/>
      </c>
      <c r="E52" s="26" t="str">
        <f aca="false">IF(Matching_Tb[[#This Row],[CMT  Set-up]] = "", "", Matching_Tb[[#This Row],[CMT  Set-up]])</f>
        <v/>
      </c>
      <c r="F52" s="27" t="str">
        <f aca="false">IF(Matching_Tb[[#This Row],[Start date]] = "", "", Matching_Tb[[#This Row],[Start date]])</f>
        <v/>
      </c>
      <c r="G52" s="27" t="str">
        <f aca="false">IF(Matching_Tb[[#This Row],[End date]] = "", "", Matching_Tb[[#This Row],[End date]])</f>
        <v/>
      </c>
      <c r="H52" s="51" t="str">
        <f aca="false">IF(Matching_Tb[[#This Row],[Competitor URL]] = "", "", Matching_Tb[[#This Row],[Competitor URL]])</f>
        <v/>
      </c>
      <c r="I52" s="26" t="str">
        <f aca="false">IF(Site_Content[[#This Row],[Competitor Name]] = "", "", IF(Matching_Tb[[#This Row],[Promo code]]="", "N/A", Matching_Tb[[#This Row],[Promo code]]))</f>
        <v/>
      </c>
      <c r="J52" s="26" t="str">
        <f aca="false">IF(Matching_Tb[[#This Row],[Offer Details]] = "", "", Matching_Tb[[#This Row],[Offer Details]])</f>
        <v/>
      </c>
      <c r="K52" s="51" t="str">
        <f aca="false">IF(Matching_Tb[[#This Row],[TT Link]]="", "", IF(Matching_Tb[[#This Row],[Can be matched ? ]] = "No", "", Matching_Tb[[#This Row],[TT Link]]))</f>
        <v/>
      </c>
      <c r="L52" s="26" t="str">
        <f aca="false">IF(Matching_Tb[[#This Row],[Can be matched ? ]] = "", "", Matching_Tb[[#This Row],[Can be matched ? ]])</f>
        <v/>
      </c>
      <c r="M52" s="41" t="str">
        <f aca="false">IF(Matching_Tb[[#This Row],[Rebate type]] = "", "", Matching_Tb[[#This Row],[Rebate type]])</f>
        <v/>
      </c>
      <c r="N52" s="26" t="str">
        <f aca="false">IF('Matching Sheet'!P52="", "", (IF(Site_Content[[#This Row],[Can be matched ? ]]="Yes", "Matched", Matching_Tb[[#This Row],[Comment]])))</f>
        <v/>
      </c>
    </row>
    <row r="53" customFormat="false" ht="14.25" hidden="false" customHeight="false" outlineLevel="0" collapsed="false">
      <c r="A53" s="26" t="str">
        <f aca="false">IF(Matching_Tb[[#This Row],[MKPL]] = "", "", Matching_Tb[[#This Row],[MKPL]])</f>
        <v/>
      </c>
      <c r="B53" s="26" t="str">
        <f aca="false">IF(Matching_Tb[[#This Row],[PL]] = "", "", Matching_Tb[[#This Row],[PL]])</f>
        <v/>
      </c>
      <c r="C53" s="26" t="str">
        <f aca="false">IF(Matching_Tb[[#This Row],[GL]] = "", "", Matching_Tb[[#This Row],[GL]])</f>
        <v/>
      </c>
      <c r="D53" s="50" t="str">
        <f aca="false">IF(Matching_Tb[[#This Row],[Competitor Name]] = "", "", Matching_Tb[[#This Row],[Competitor Name]])</f>
        <v/>
      </c>
      <c r="E53" s="26" t="str">
        <f aca="false">IF(Matching_Tb[[#This Row],[CMT  Set-up]] = "", "", Matching_Tb[[#This Row],[CMT  Set-up]])</f>
        <v/>
      </c>
      <c r="F53" s="27" t="str">
        <f aca="false">IF(Matching_Tb[[#This Row],[Start date]] = "", "", Matching_Tb[[#This Row],[Start date]])</f>
        <v/>
      </c>
      <c r="G53" s="27" t="str">
        <f aca="false">IF(Matching_Tb[[#This Row],[End date]] = "", "", Matching_Tb[[#This Row],[End date]])</f>
        <v/>
      </c>
      <c r="H53" s="51" t="str">
        <f aca="false">IF(Matching_Tb[[#This Row],[Competitor URL]] = "", "", Matching_Tb[[#This Row],[Competitor URL]])</f>
        <v/>
      </c>
      <c r="I53" s="26" t="str">
        <f aca="false">IF(Site_Content[[#This Row],[Competitor Name]] = "", "", IF(Matching_Tb[[#This Row],[Promo code]]="", "N/A", Matching_Tb[[#This Row],[Promo code]]))</f>
        <v/>
      </c>
      <c r="J53" s="26" t="str">
        <f aca="false">IF(Matching_Tb[[#This Row],[Offer Details]] = "", "", Matching_Tb[[#This Row],[Offer Details]])</f>
        <v/>
      </c>
      <c r="K53" s="51" t="str">
        <f aca="false">IF(Matching_Tb[[#This Row],[TT Link]]="", "", IF(Matching_Tb[[#This Row],[Can be matched ? ]] = "No", "", Matching_Tb[[#This Row],[TT Link]]))</f>
        <v/>
      </c>
      <c r="L53" s="26" t="str">
        <f aca="false">IF(Matching_Tb[[#This Row],[Can be matched ? ]] = "", "", Matching_Tb[[#This Row],[Can be matched ? ]])</f>
        <v/>
      </c>
      <c r="M53" s="41" t="str">
        <f aca="false">IF(Matching_Tb[[#This Row],[Rebate type]] = "", "", Matching_Tb[[#This Row],[Rebate type]])</f>
        <v/>
      </c>
      <c r="N53" s="26" t="str">
        <f aca="false">IF('Matching Sheet'!P53="", "", (IF(Site_Content[[#This Row],[Can be matched ? ]]="Yes", "Matched", Matching_Tb[[#This Row],[Comment]])))</f>
        <v/>
      </c>
    </row>
    <row r="54" customFormat="false" ht="14.25" hidden="false" customHeight="false" outlineLevel="0" collapsed="false">
      <c r="A54" s="26" t="str">
        <f aca="false">IF(Matching_Tb[[#This Row],[MKPL]] = "", "", Matching_Tb[[#This Row],[MKPL]])</f>
        <v/>
      </c>
      <c r="B54" s="26" t="str">
        <f aca="false">IF(Matching_Tb[[#This Row],[PL]] = "", "", Matching_Tb[[#This Row],[PL]])</f>
        <v/>
      </c>
      <c r="C54" s="26" t="str">
        <f aca="false">IF(Matching_Tb[[#This Row],[GL]] = "", "", Matching_Tb[[#This Row],[GL]])</f>
        <v/>
      </c>
      <c r="D54" s="50" t="str">
        <f aca="false">IF(Matching_Tb[[#This Row],[Competitor Name]] = "", "", Matching_Tb[[#This Row],[Competitor Name]])</f>
        <v/>
      </c>
      <c r="E54" s="26" t="str">
        <f aca="false">IF(Matching_Tb[[#This Row],[CMT  Set-up]] = "", "", Matching_Tb[[#This Row],[CMT  Set-up]])</f>
        <v/>
      </c>
      <c r="F54" s="27" t="str">
        <f aca="false">IF(Matching_Tb[[#This Row],[Start date]] = "", "", Matching_Tb[[#This Row],[Start date]])</f>
        <v/>
      </c>
      <c r="G54" s="27" t="str">
        <f aca="false">IF(Matching_Tb[[#This Row],[End date]] = "", "", Matching_Tb[[#This Row],[End date]])</f>
        <v/>
      </c>
      <c r="H54" s="51" t="str">
        <f aca="false">IF(Matching_Tb[[#This Row],[Competitor URL]] = "", "", Matching_Tb[[#This Row],[Competitor URL]])</f>
        <v/>
      </c>
      <c r="I54" s="26" t="str">
        <f aca="false">IF(Site_Content[[#This Row],[Competitor Name]] = "", "", IF(Matching_Tb[[#This Row],[Promo code]]="", "N/A", Matching_Tb[[#This Row],[Promo code]]))</f>
        <v/>
      </c>
      <c r="J54" s="26" t="str">
        <f aca="false">IF(Matching_Tb[[#This Row],[Offer Details]] = "", "", Matching_Tb[[#This Row],[Offer Details]])</f>
        <v/>
      </c>
      <c r="K54" s="51" t="str">
        <f aca="false">IF(Matching_Tb[[#This Row],[TT Link]]="", "", IF(Matching_Tb[[#This Row],[Can be matched ? ]] = "No", "", Matching_Tb[[#This Row],[TT Link]]))</f>
        <v/>
      </c>
      <c r="L54" s="26" t="str">
        <f aca="false">IF(Matching_Tb[[#This Row],[Can be matched ? ]] = "", "", Matching_Tb[[#This Row],[Can be matched ? ]])</f>
        <v/>
      </c>
      <c r="M54" s="41" t="str">
        <f aca="false">IF(Matching_Tb[[#This Row],[Rebate type]] = "", "", Matching_Tb[[#This Row],[Rebate type]])</f>
        <v/>
      </c>
      <c r="N54" s="26" t="str">
        <f aca="false">IF('Matching Sheet'!P54="", "", (IF(Site_Content[[#This Row],[Can be matched ? ]]="Yes", "Matched", Matching_Tb[[#This Row],[Comment]])))</f>
        <v/>
      </c>
    </row>
    <row r="55" customFormat="false" ht="14.25" hidden="false" customHeight="false" outlineLevel="0" collapsed="false">
      <c r="A55" s="26" t="str">
        <f aca="false">IF(Matching_Tb[[#This Row],[MKPL]] = "", "", Matching_Tb[[#This Row],[MKPL]])</f>
        <v/>
      </c>
      <c r="B55" s="26" t="str">
        <f aca="false">IF(Matching_Tb[[#This Row],[PL]] = "", "", Matching_Tb[[#This Row],[PL]])</f>
        <v/>
      </c>
      <c r="C55" s="26" t="str">
        <f aca="false">IF(Matching_Tb[[#This Row],[GL]] = "", "", Matching_Tb[[#This Row],[GL]])</f>
        <v/>
      </c>
      <c r="D55" s="50" t="str">
        <f aca="false">IF(Matching_Tb[[#This Row],[Competitor Name]] = "", "", Matching_Tb[[#This Row],[Competitor Name]])</f>
        <v/>
      </c>
      <c r="E55" s="26" t="str">
        <f aca="false">IF(Matching_Tb[[#This Row],[CMT  Set-up]] = "", "", Matching_Tb[[#This Row],[CMT  Set-up]])</f>
        <v/>
      </c>
      <c r="F55" s="27" t="str">
        <f aca="false">IF(Matching_Tb[[#This Row],[Start date]] = "", "", Matching_Tb[[#This Row],[Start date]])</f>
        <v/>
      </c>
      <c r="G55" s="27" t="str">
        <f aca="false">IF(Matching_Tb[[#This Row],[End date]] = "", "", Matching_Tb[[#This Row],[End date]])</f>
        <v/>
      </c>
      <c r="H55" s="51" t="str">
        <f aca="false">IF(Matching_Tb[[#This Row],[Competitor URL]] = "", "", Matching_Tb[[#This Row],[Competitor URL]])</f>
        <v/>
      </c>
      <c r="I55" s="26" t="str">
        <f aca="false">IF(Site_Content[[#This Row],[Competitor Name]] = "", "", IF(Matching_Tb[[#This Row],[Promo code]]="", "N/A", Matching_Tb[[#This Row],[Promo code]]))</f>
        <v/>
      </c>
      <c r="J55" s="26" t="str">
        <f aca="false">IF(Matching_Tb[[#This Row],[Offer Details]] = "", "", Matching_Tb[[#This Row],[Offer Details]])</f>
        <v/>
      </c>
      <c r="K55" s="51" t="str">
        <f aca="false">IF(Matching_Tb[[#This Row],[TT Link]]="", "", IF(Matching_Tb[[#This Row],[Can be matched ? ]] = "No", "", Matching_Tb[[#This Row],[TT Link]]))</f>
        <v/>
      </c>
      <c r="L55" s="26" t="str">
        <f aca="false">IF(Matching_Tb[[#This Row],[Can be matched ? ]] = "", "", Matching_Tb[[#This Row],[Can be matched ? ]])</f>
        <v/>
      </c>
      <c r="M55" s="41" t="str">
        <f aca="false">IF(Matching_Tb[[#This Row],[Rebate type]] = "", "", Matching_Tb[[#This Row],[Rebate type]])</f>
        <v/>
      </c>
      <c r="N55" s="26" t="str">
        <f aca="false">IF('Matching Sheet'!P55="", "", (IF(Site_Content[[#This Row],[Can be matched ? ]]="Yes", "Matched", Matching_Tb[[#This Row],[Comment]])))</f>
        <v/>
      </c>
    </row>
    <row r="56" customFormat="false" ht="14.25" hidden="false" customHeight="false" outlineLevel="0" collapsed="false">
      <c r="A56" s="26" t="str">
        <f aca="false">IF(Matching_Tb[[#This Row],[MKPL]] = "", "", Matching_Tb[[#This Row],[MKPL]])</f>
        <v/>
      </c>
      <c r="B56" s="26" t="str">
        <f aca="false">IF(Matching_Tb[[#This Row],[PL]] = "", "", Matching_Tb[[#This Row],[PL]])</f>
        <v/>
      </c>
      <c r="C56" s="26" t="str">
        <f aca="false">IF(Matching_Tb[[#This Row],[GL]] = "", "", Matching_Tb[[#This Row],[GL]])</f>
        <v/>
      </c>
      <c r="D56" s="50" t="str">
        <f aca="false">IF(Matching_Tb[[#This Row],[Competitor Name]] = "", "", Matching_Tb[[#This Row],[Competitor Name]])</f>
        <v/>
      </c>
      <c r="E56" s="26" t="str">
        <f aca="false">IF(Matching_Tb[[#This Row],[CMT  Set-up]] = "", "", Matching_Tb[[#This Row],[CMT  Set-up]])</f>
        <v/>
      </c>
      <c r="F56" s="27" t="str">
        <f aca="false">IF(Matching_Tb[[#This Row],[Start date]] = "", "", Matching_Tb[[#This Row],[Start date]])</f>
        <v/>
      </c>
      <c r="G56" s="27" t="str">
        <f aca="false">IF(Matching_Tb[[#This Row],[End date]] = "", "", Matching_Tb[[#This Row],[End date]])</f>
        <v/>
      </c>
      <c r="H56" s="51" t="str">
        <f aca="false">IF(Matching_Tb[[#This Row],[Competitor URL]] = "", "", Matching_Tb[[#This Row],[Competitor URL]])</f>
        <v/>
      </c>
      <c r="I56" s="26" t="str">
        <f aca="false">IF(Site_Content[[#This Row],[Competitor Name]] = "", "", IF(Matching_Tb[[#This Row],[Promo code]]="", "N/A", Matching_Tb[[#This Row],[Promo code]]))</f>
        <v/>
      </c>
      <c r="J56" s="26" t="str">
        <f aca="false">IF(Matching_Tb[[#This Row],[Offer Details]] = "", "", Matching_Tb[[#This Row],[Offer Details]])</f>
        <v/>
      </c>
      <c r="K56" s="51" t="str">
        <f aca="false">IF(Matching_Tb[[#This Row],[TT Link]]="", "", IF(Matching_Tb[[#This Row],[Can be matched ? ]] = "No", "", Matching_Tb[[#This Row],[TT Link]]))</f>
        <v/>
      </c>
      <c r="L56" s="26" t="str">
        <f aca="false">IF(Matching_Tb[[#This Row],[Can be matched ? ]] = "", "", Matching_Tb[[#This Row],[Can be matched ? ]])</f>
        <v/>
      </c>
      <c r="M56" s="41" t="str">
        <f aca="false">IF(Matching_Tb[[#This Row],[Rebate type]] = "", "", Matching_Tb[[#This Row],[Rebate type]])</f>
        <v/>
      </c>
      <c r="N56" s="26" t="str">
        <f aca="false">IF('Matching Sheet'!P56="", "", (IF(Site_Content[[#This Row],[Can be matched ? ]]="Yes", "Matched", Matching_Tb[[#This Row],[Comment]])))</f>
        <v/>
      </c>
    </row>
    <row r="57" customFormat="false" ht="14.25" hidden="false" customHeight="false" outlineLevel="0" collapsed="false">
      <c r="A57" s="26" t="str">
        <f aca="false">IF(Matching_Tb[[#This Row],[MKPL]] = "", "", Matching_Tb[[#This Row],[MKPL]])</f>
        <v/>
      </c>
      <c r="B57" s="26" t="str">
        <f aca="false">IF(Matching_Tb[[#This Row],[PL]] = "", "", Matching_Tb[[#This Row],[PL]])</f>
        <v/>
      </c>
      <c r="C57" s="26" t="str">
        <f aca="false">IF(Matching_Tb[[#This Row],[GL]] = "", "", Matching_Tb[[#This Row],[GL]])</f>
        <v/>
      </c>
      <c r="D57" s="50" t="str">
        <f aca="false">IF(Matching_Tb[[#This Row],[Competitor Name]] = "", "", Matching_Tb[[#This Row],[Competitor Name]])</f>
        <v/>
      </c>
      <c r="E57" s="26" t="str">
        <f aca="false">IF(Matching_Tb[[#This Row],[CMT  Set-up]] = "", "", Matching_Tb[[#This Row],[CMT  Set-up]])</f>
        <v/>
      </c>
      <c r="F57" s="27" t="str">
        <f aca="false">IF(Matching_Tb[[#This Row],[Start date]] = "", "", Matching_Tb[[#This Row],[Start date]])</f>
        <v/>
      </c>
      <c r="G57" s="27" t="str">
        <f aca="false">IF(Matching_Tb[[#This Row],[End date]] = "", "", Matching_Tb[[#This Row],[End date]])</f>
        <v/>
      </c>
      <c r="H57" s="51" t="str">
        <f aca="false">IF(Matching_Tb[[#This Row],[Competitor URL]] = "", "", Matching_Tb[[#This Row],[Competitor URL]])</f>
        <v/>
      </c>
      <c r="I57" s="26" t="str">
        <f aca="false">IF(Site_Content[[#This Row],[Competitor Name]] = "", "", IF(Matching_Tb[[#This Row],[Promo code]]="", "N/A", Matching_Tb[[#This Row],[Promo code]]))</f>
        <v/>
      </c>
      <c r="J57" s="26" t="str">
        <f aca="false">IF(Matching_Tb[[#This Row],[Offer Details]] = "", "", Matching_Tb[[#This Row],[Offer Details]])</f>
        <v/>
      </c>
      <c r="K57" s="51" t="str">
        <f aca="false">IF(Matching_Tb[[#This Row],[TT Link]]="", "", IF(Matching_Tb[[#This Row],[Can be matched ? ]] = "No", "", Matching_Tb[[#This Row],[TT Link]]))</f>
        <v/>
      </c>
      <c r="L57" s="26" t="str">
        <f aca="false">IF(Matching_Tb[[#This Row],[Can be matched ? ]] = "", "", Matching_Tb[[#This Row],[Can be matched ? ]])</f>
        <v/>
      </c>
      <c r="M57" s="41" t="str">
        <f aca="false">IF(Matching_Tb[[#This Row],[Rebate type]] = "", "", Matching_Tb[[#This Row],[Rebate type]])</f>
        <v/>
      </c>
      <c r="N57" s="26" t="str">
        <f aca="false">IF('Matching Sheet'!P57="", "", (IF(Site_Content[[#This Row],[Can be matched ? ]]="Yes", "Matched", Matching_Tb[[#This Row],[Comment]])))</f>
        <v/>
      </c>
    </row>
    <row r="58" customFormat="false" ht="14.25" hidden="false" customHeight="false" outlineLevel="0" collapsed="false">
      <c r="A58" s="26" t="str">
        <f aca="false">IF(Matching_Tb[[#This Row],[MKPL]] = "", "", Matching_Tb[[#This Row],[MKPL]])</f>
        <v/>
      </c>
      <c r="B58" s="26" t="str">
        <f aca="false">IF(Matching_Tb[[#This Row],[PL]] = "", "", Matching_Tb[[#This Row],[PL]])</f>
        <v/>
      </c>
      <c r="C58" s="26" t="str">
        <f aca="false">IF(Matching_Tb[[#This Row],[GL]] = "", "", Matching_Tb[[#This Row],[GL]])</f>
        <v/>
      </c>
      <c r="D58" s="50" t="str">
        <f aca="false">IF(Matching_Tb[[#This Row],[Competitor Name]] = "", "", Matching_Tb[[#This Row],[Competitor Name]])</f>
        <v/>
      </c>
      <c r="E58" s="26" t="str">
        <f aca="false">IF(Matching_Tb[[#This Row],[CMT  Set-up]] = "", "", Matching_Tb[[#This Row],[CMT  Set-up]])</f>
        <v/>
      </c>
      <c r="F58" s="27" t="str">
        <f aca="false">IF(Matching_Tb[[#This Row],[Start date]] = "", "", Matching_Tb[[#This Row],[Start date]])</f>
        <v/>
      </c>
      <c r="G58" s="27" t="str">
        <f aca="false">IF(Matching_Tb[[#This Row],[End date]] = "", "", Matching_Tb[[#This Row],[End date]])</f>
        <v/>
      </c>
      <c r="H58" s="51" t="str">
        <f aca="false">IF(Matching_Tb[[#This Row],[Competitor URL]] = "", "", Matching_Tb[[#This Row],[Competitor URL]])</f>
        <v/>
      </c>
      <c r="I58" s="26" t="str">
        <f aca="false">IF(Site_Content[[#This Row],[Competitor Name]] = "", "", IF(Matching_Tb[[#This Row],[Promo code]]="", "N/A", Matching_Tb[[#This Row],[Promo code]]))</f>
        <v/>
      </c>
      <c r="J58" s="26" t="str">
        <f aca="false">IF(Matching_Tb[[#This Row],[Offer Details]] = "", "", Matching_Tb[[#This Row],[Offer Details]])</f>
        <v/>
      </c>
      <c r="K58" s="51" t="str">
        <f aca="false">IF(Matching_Tb[[#This Row],[TT Link]]="", "", IF(Matching_Tb[[#This Row],[Can be matched ? ]] = "No", "", Matching_Tb[[#This Row],[TT Link]]))</f>
        <v/>
      </c>
      <c r="L58" s="26" t="str">
        <f aca="false">IF(Matching_Tb[[#This Row],[Can be matched ? ]] = "", "", Matching_Tb[[#This Row],[Can be matched ? ]])</f>
        <v/>
      </c>
      <c r="M58" s="41" t="str">
        <f aca="false">IF(Matching_Tb[[#This Row],[Rebate type]] = "", "", Matching_Tb[[#This Row],[Rebate type]])</f>
        <v/>
      </c>
      <c r="N58" s="26" t="str">
        <f aca="false">IF('Matching Sheet'!P58="", "", (IF(Site_Content[[#This Row],[Can be matched ? ]]="Yes", "Matched", Matching_Tb[[#This Row],[Comment]])))</f>
        <v/>
      </c>
    </row>
    <row r="59" customFormat="false" ht="14.25" hidden="false" customHeight="false" outlineLevel="0" collapsed="false">
      <c r="A59" s="26" t="str">
        <f aca="false">IF(Matching_Tb[[#This Row],[MKPL]] = "", "", Matching_Tb[[#This Row],[MKPL]])</f>
        <v/>
      </c>
      <c r="B59" s="26" t="str">
        <f aca="false">IF(Matching_Tb[[#This Row],[PL]] = "", "", Matching_Tb[[#This Row],[PL]])</f>
        <v/>
      </c>
      <c r="C59" s="26" t="str">
        <f aca="false">IF(Matching_Tb[[#This Row],[GL]] = "", "", Matching_Tb[[#This Row],[GL]])</f>
        <v/>
      </c>
      <c r="D59" s="50" t="str">
        <f aca="false">IF(Matching_Tb[[#This Row],[Competitor Name]] = "", "", Matching_Tb[[#This Row],[Competitor Name]])</f>
        <v/>
      </c>
      <c r="E59" s="26" t="str">
        <f aca="false">IF(Matching_Tb[[#This Row],[CMT  Set-up]] = "", "", Matching_Tb[[#This Row],[CMT  Set-up]])</f>
        <v/>
      </c>
      <c r="F59" s="27" t="str">
        <f aca="false">IF(Matching_Tb[[#This Row],[Start date]] = "", "", Matching_Tb[[#This Row],[Start date]])</f>
        <v/>
      </c>
      <c r="G59" s="27" t="str">
        <f aca="false">IF(Matching_Tb[[#This Row],[End date]] = "", "", Matching_Tb[[#This Row],[End date]])</f>
        <v/>
      </c>
      <c r="H59" s="51" t="str">
        <f aca="false">IF(Matching_Tb[[#This Row],[Competitor URL]] = "", "", Matching_Tb[[#This Row],[Competitor URL]])</f>
        <v/>
      </c>
      <c r="I59" s="26" t="str">
        <f aca="false">IF(Site_Content[[#This Row],[Competitor Name]] = "", "", IF(Matching_Tb[[#This Row],[Promo code]]="", "N/A", Matching_Tb[[#This Row],[Promo code]]))</f>
        <v/>
      </c>
      <c r="J59" s="26" t="str">
        <f aca="false">IF(Matching_Tb[[#This Row],[Offer Details]] = "", "", Matching_Tb[[#This Row],[Offer Details]])</f>
        <v/>
      </c>
      <c r="K59" s="51" t="str">
        <f aca="false">IF(Matching_Tb[[#This Row],[TT Link]]="", "", IF(Matching_Tb[[#This Row],[Can be matched ? ]] = "No", "", Matching_Tb[[#This Row],[TT Link]]))</f>
        <v/>
      </c>
      <c r="L59" s="26" t="str">
        <f aca="false">IF(Matching_Tb[[#This Row],[Can be matched ? ]] = "", "", Matching_Tb[[#This Row],[Can be matched ? ]])</f>
        <v/>
      </c>
      <c r="M59" s="41" t="str">
        <f aca="false">IF(Matching_Tb[[#This Row],[Rebate type]] = "", "", Matching_Tb[[#This Row],[Rebate type]])</f>
        <v/>
      </c>
      <c r="N59" s="26" t="str">
        <f aca="false">IF('Matching Sheet'!P59="", "", (IF(Site_Content[[#This Row],[Can be matched ? ]]="Yes", "Matched", Matching_Tb[[#This Row],[Comment]])))</f>
        <v/>
      </c>
    </row>
    <row r="60" customFormat="false" ht="14.25" hidden="false" customHeight="false" outlineLevel="0" collapsed="false">
      <c r="A60" s="26" t="str">
        <f aca="false">IF(Matching_Tb[[#This Row],[MKPL]] = "", "", Matching_Tb[[#This Row],[MKPL]])</f>
        <v/>
      </c>
      <c r="B60" s="26" t="str">
        <f aca="false">IF(Matching_Tb[[#This Row],[PL]] = "", "", Matching_Tb[[#This Row],[PL]])</f>
        <v/>
      </c>
      <c r="C60" s="26" t="str">
        <f aca="false">IF(Matching_Tb[[#This Row],[GL]] = "", "", Matching_Tb[[#This Row],[GL]])</f>
        <v/>
      </c>
      <c r="D60" s="50" t="str">
        <f aca="false">IF(Matching_Tb[[#This Row],[Competitor Name]] = "", "", Matching_Tb[[#This Row],[Competitor Name]])</f>
        <v/>
      </c>
      <c r="E60" s="26" t="str">
        <f aca="false">IF(Matching_Tb[[#This Row],[CMT  Set-up]] = "", "", Matching_Tb[[#This Row],[CMT  Set-up]])</f>
        <v/>
      </c>
      <c r="F60" s="27" t="str">
        <f aca="false">IF(Matching_Tb[[#This Row],[Start date]] = "", "", Matching_Tb[[#This Row],[Start date]])</f>
        <v/>
      </c>
      <c r="G60" s="27" t="str">
        <f aca="false">IF(Matching_Tb[[#This Row],[End date]] = "", "", Matching_Tb[[#This Row],[End date]])</f>
        <v/>
      </c>
      <c r="H60" s="51" t="str">
        <f aca="false">IF(Matching_Tb[[#This Row],[Competitor URL]] = "", "", Matching_Tb[[#This Row],[Competitor URL]])</f>
        <v/>
      </c>
      <c r="I60" s="26" t="str">
        <f aca="false">IF(Site_Content[[#This Row],[Competitor Name]] = "", "", IF(Matching_Tb[[#This Row],[Promo code]]="", "N/A", Matching_Tb[[#This Row],[Promo code]]))</f>
        <v/>
      </c>
      <c r="J60" s="26" t="str">
        <f aca="false">IF(Matching_Tb[[#This Row],[Offer Details]] = "", "", Matching_Tb[[#This Row],[Offer Details]])</f>
        <v/>
      </c>
      <c r="K60" s="51" t="str">
        <f aca="false">IF(Matching_Tb[[#This Row],[TT Link]]="", "", IF(Matching_Tb[[#This Row],[Can be matched ? ]] = "No", "", Matching_Tb[[#This Row],[TT Link]]))</f>
        <v/>
      </c>
      <c r="L60" s="26" t="str">
        <f aca="false">IF(Matching_Tb[[#This Row],[Can be matched ? ]] = "", "", Matching_Tb[[#This Row],[Can be matched ? ]])</f>
        <v/>
      </c>
      <c r="M60" s="41" t="str">
        <f aca="false">IF(Matching_Tb[[#This Row],[Rebate type]] = "", "", Matching_Tb[[#This Row],[Rebate type]])</f>
        <v/>
      </c>
      <c r="N60" s="26" t="str">
        <f aca="false">IF('Matching Sheet'!P60="", "", (IF(Site_Content[[#This Row],[Can be matched ? ]]="Yes", "Matched", Matching_Tb[[#This Row],[Comment]])))</f>
        <v/>
      </c>
    </row>
    <row r="61" customFormat="false" ht="14.25" hidden="false" customHeight="false" outlineLevel="0" collapsed="false">
      <c r="A61" s="26" t="str">
        <f aca="false">IF(Matching_Tb[[#This Row],[MKPL]] = "", "", Matching_Tb[[#This Row],[MKPL]])</f>
        <v/>
      </c>
      <c r="B61" s="26" t="str">
        <f aca="false">IF(Matching_Tb[[#This Row],[PL]] = "", "", Matching_Tb[[#This Row],[PL]])</f>
        <v/>
      </c>
      <c r="C61" s="26" t="str">
        <f aca="false">IF(Matching_Tb[[#This Row],[GL]] = "", "", Matching_Tb[[#This Row],[GL]])</f>
        <v/>
      </c>
      <c r="D61" s="50" t="str">
        <f aca="false">IF(Matching_Tb[[#This Row],[Competitor Name]] = "", "", Matching_Tb[[#This Row],[Competitor Name]])</f>
        <v/>
      </c>
      <c r="E61" s="26" t="str">
        <f aca="false">IF(Matching_Tb[[#This Row],[CMT  Set-up]] = "", "", Matching_Tb[[#This Row],[CMT  Set-up]])</f>
        <v/>
      </c>
      <c r="F61" s="27" t="str">
        <f aca="false">IF(Matching_Tb[[#This Row],[Start date]] = "", "", Matching_Tb[[#This Row],[Start date]])</f>
        <v/>
      </c>
      <c r="G61" s="27" t="str">
        <f aca="false">IF(Matching_Tb[[#This Row],[End date]] = "", "", Matching_Tb[[#This Row],[End date]])</f>
        <v/>
      </c>
      <c r="H61" s="51" t="str">
        <f aca="false">IF(Matching_Tb[[#This Row],[Competitor URL]] = "", "", Matching_Tb[[#This Row],[Competitor URL]])</f>
        <v/>
      </c>
      <c r="I61" s="26" t="str">
        <f aca="false">IF(Site_Content[[#This Row],[Competitor Name]] = "", "", IF(Matching_Tb[[#This Row],[Promo code]]="", "N/A", Matching_Tb[[#This Row],[Promo code]]))</f>
        <v/>
      </c>
      <c r="J61" s="26" t="str">
        <f aca="false">IF(Matching_Tb[[#This Row],[Offer Details]] = "", "", Matching_Tb[[#This Row],[Offer Details]])</f>
        <v/>
      </c>
      <c r="K61" s="51" t="str">
        <f aca="false">IF(Matching_Tb[[#This Row],[TT Link]]="", "", IF(Matching_Tb[[#This Row],[Can be matched ? ]] = "No", "", Matching_Tb[[#This Row],[TT Link]]))</f>
        <v/>
      </c>
      <c r="L61" s="26" t="str">
        <f aca="false">IF(Matching_Tb[[#This Row],[Can be matched ? ]] = "", "", Matching_Tb[[#This Row],[Can be matched ? ]])</f>
        <v/>
      </c>
      <c r="M61" s="41" t="str">
        <f aca="false">IF(Matching_Tb[[#This Row],[Rebate type]] = "", "", Matching_Tb[[#This Row],[Rebate type]])</f>
        <v/>
      </c>
      <c r="N61" s="26" t="str">
        <f aca="false">IF('Matching Sheet'!P61="", "", (IF(Site_Content[[#This Row],[Can be matched ? ]]="Yes", "Matched", Matching_Tb[[#This Row],[Comment]])))</f>
        <v/>
      </c>
    </row>
    <row r="62" customFormat="false" ht="14.25" hidden="false" customHeight="false" outlineLevel="0" collapsed="false">
      <c r="A62" s="26" t="str">
        <f aca="false">IF(Matching_Tb[[#This Row],[MKPL]] = "", "", Matching_Tb[[#This Row],[MKPL]])</f>
        <v/>
      </c>
      <c r="B62" s="26" t="str">
        <f aca="false">IF(Matching_Tb[[#This Row],[PL]] = "", "", Matching_Tb[[#This Row],[PL]])</f>
        <v/>
      </c>
      <c r="C62" s="26" t="str">
        <f aca="false">IF(Matching_Tb[[#This Row],[GL]] = "", "", Matching_Tb[[#This Row],[GL]])</f>
        <v/>
      </c>
      <c r="D62" s="50" t="str">
        <f aca="false">IF(Matching_Tb[[#This Row],[Competitor Name]] = "", "", Matching_Tb[[#This Row],[Competitor Name]])</f>
        <v/>
      </c>
      <c r="E62" s="26" t="str">
        <f aca="false">IF(Matching_Tb[[#This Row],[CMT  Set-up]] = "", "", Matching_Tb[[#This Row],[CMT  Set-up]])</f>
        <v/>
      </c>
      <c r="F62" s="27" t="str">
        <f aca="false">IF(Matching_Tb[[#This Row],[Start date]] = "", "", Matching_Tb[[#This Row],[Start date]])</f>
        <v/>
      </c>
      <c r="G62" s="27" t="str">
        <f aca="false">IF(Matching_Tb[[#This Row],[End date]] = "", "", Matching_Tb[[#This Row],[End date]])</f>
        <v/>
      </c>
      <c r="H62" s="51" t="str">
        <f aca="false">IF(Matching_Tb[[#This Row],[Competitor URL]] = "", "", Matching_Tb[[#This Row],[Competitor URL]])</f>
        <v/>
      </c>
      <c r="I62" s="26" t="str">
        <f aca="false">IF(Site_Content[[#This Row],[Competitor Name]] = "", "", IF(Matching_Tb[[#This Row],[Promo code]]="", "N/A", Matching_Tb[[#This Row],[Promo code]]))</f>
        <v/>
      </c>
      <c r="J62" s="26" t="str">
        <f aca="false">IF(Matching_Tb[[#This Row],[Offer Details]] = "", "", Matching_Tb[[#This Row],[Offer Details]])</f>
        <v/>
      </c>
      <c r="K62" s="51" t="str">
        <f aca="false">IF(Matching_Tb[[#This Row],[TT Link]]="", "", IF(Matching_Tb[[#This Row],[Can be matched ? ]] = "No", "", Matching_Tb[[#This Row],[TT Link]]))</f>
        <v/>
      </c>
      <c r="L62" s="26" t="str">
        <f aca="false">IF(Matching_Tb[[#This Row],[Can be matched ? ]] = "", "", Matching_Tb[[#This Row],[Can be matched ? ]])</f>
        <v/>
      </c>
      <c r="M62" s="41" t="str">
        <f aca="false">IF(Matching_Tb[[#This Row],[Rebate type]] = "", "", Matching_Tb[[#This Row],[Rebate type]])</f>
        <v/>
      </c>
      <c r="N62" s="26" t="str">
        <f aca="false">IF('Matching Sheet'!P62="", "", (IF(Site_Content[[#This Row],[Can be matched ? ]]="Yes", "Matched", Matching_Tb[[#This Row],[Comment]])))</f>
        <v/>
      </c>
    </row>
    <row r="63" customFormat="false" ht="14.25" hidden="false" customHeight="false" outlineLevel="0" collapsed="false">
      <c r="A63" s="26" t="str">
        <f aca="false">IF(Matching_Tb[[#This Row],[MKPL]] = "", "", Matching_Tb[[#This Row],[MKPL]])</f>
        <v/>
      </c>
      <c r="B63" s="26" t="str">
        <f aca="false">IF(Matching_Tb[[#This Row],[PL]] = "", "", Matching_Tb[[#This Row],[PL]])</f>
        <v/>
      </c>
      <c r="C63" s="26" t="str">
        <f aca="false">IF(Matching_Tb[[#This Row],[GL]] = "", "", Matching_Tb[[#This Row],[GL]])</f>
        <v/>
      </c>
      <c r="D63" s="50" t="str">
        <f aca="false">IF(Matching_Tb[[#This Row],[Competitor Name]] = "", "", Matching_Tb[[#This Row],[Competitor Name]])</f>
        <v/>
      </c>
      <c r="E63" s="26" t="str">
        <f aca="false">IF(Matching_Tb[[#This Row],[CMT  Set-up]] = "", "", Matching_Tb[[#This Row],[CMT  Set-up]])</f>
        <v/>
      </c>
      <c r="F63" s="27" t="str">
        <f aca="false">IF(Matching_Tb[[#This Row],[Start date]] = "", "", Matching_Tb[[#This Row],[Start date]])</f>
        <v/>
      </c>
      <c r="G63" s="27" t="str">
        <f aca="false">IF(Matching_Tb[[#This Row],[End date]] = "", "", Matching_Tb[[#This Row],[End date]])</f>
        <v/>
      </c>
      <c r="H63" s="51" t="str">
        <f aca="false">IF(Matching_Tb[[#This Row],[Competitor URL]] = "", "", Matching_Tb[[#This Row],[Competitor URL]])</f>
        <v/>
      </c>
      <c r="I63" s="26" t="str">
        <f aca="false">IF(Site_Content[[#This Row],[Competitor Name]] = "", "", IF(Matching_Tb[[#This Row],[Promo code]]="", "N/A", Matching_Tb[[#This Row],[Promo code]]))</f>
        <v/>
      </c>
      <c r="J63" s="26" t="str">
        <f aca="false">IF(Matching_Tb[[#This Row],[Offer Details]] = "", "", Matching_Tb[[#This Row],[Offer Details]])</f>
        <v/>
      </c>
      <c r="K63" s="51" t="str">
        <f aca="false">IF(Matching_Tb[[#This Row],[TT Link]]="", "", IF(Matching_Tb[[#This Row],[Can be matched ? ]] = "No", "", Matching_Tb[[#This Row],[TT Link]]))</f>
        <v/>
      </c>
      <c r="L63" s="26" t="str">
        <f aca="false">IF(Matching_Tb[[#This Row],[Can be matched ? ]] = "", "", Matching_Tb[[#This Row],[Can be matched ? ]])</f>
        <v/>
      </c>
      <c r="M63" s="41" t="str">
        <f aca="false">IF(Matching_Tb[[#This Row],[Rebate type]] = "", "", Matching_Tb[[#This Row],[Rebate type]])</f>
        <v/>
      </c>
      <c r="N63" s="26" t="str">
        <f aca="false">IF('Matching Sheet'!P63="", "", (IF(Site_Content[[#This Row],[Can be matched ? ]]="Yes", "Matched", Matching_Tb[[#This Row],[Comment]])))</f>
        <v/>
      </c>
    </row>
    <row r="64" customFormat="false" ht="14.25" hidden="false" customHeight="false" outlineLevel="0" collapsed="false">
      <c r="A64" s="26" t="str">
        <f aca="false">IF(Matching_Tb[[#This Row],[MKPL]] = "", "", Matching_Tb[[#This Row],[MKPL]])</f>
        <v/>
      </c>
      <c r="B64" s="26" t="str">
        <f aca="false">IF(Matching_Tb[[#This Row],[PL]] = "", "", Matching_Tb[[#This Row],[PL]])</f>
        <v/>
      </c>
      <c r="C64" s="26" t="str">
        <f aca="false">IF(Matching_Tb[[#This Row],[GL]] = "", "", Matching_Tb[[#This Row],[GL]])</f>
        <v/>
      </c>
      <c r="D64" s="50" t="str">
        <f aca="false">IF(Matching_Tb[[#This Row],[Competitor Name]] = "", "", Matching_Tb[[#This Row],[Competitor Name]])</f>
        <v/>
      </c>
      <c r="E64" s="26" t="str">
        <f aca="false">IF(Matching_Tb[[#This Row],[CMT  Set-up]] = "", "", Matching_Tb[[#This Row],[CMT  Set-up]])</f>
        <v/>
      </c>
      <c r="F64" s="27" t="str">
        <f aca="false">IF(Matching_Tb[[#This Row],[Start date]] = "", "", Matching_Tb[[#This Row],[Start date]])</f>
        <v/>
      </c>
      <c r="G64" s="27" t="str">
        <f aca="false">IF(Matching_Tb[[#This Row],[End date]] = "", "", Matching_Tb[[#This Row],[End date]])</f>
        <v/>
      </c>
      <c r="H64" s="51" t="str">
        <f aca="false">IF(Matching_Tb[[#This Row],[Competitor URL]] = "", "", Matching_Tb[[#This Row],[Competitor URL]])</f>
        <v/>
      </c>
      <c r="I64" s="26" t="str">
        <f aca="false">IF(Site_Content[[#This Row],[Competitor Name]] = "", "", IF(Matching_Tb[[#This Row],[Promo code]]="", "N/A", Matching_Tb[[#This Row],[Promo code]]))</f>
        <v/>
      </c>
      <c r="J64" s="26" t="str">
        <f aca="false">IF(Matching_Tb[[#This Row],[Offer Details]] = "", "", Matching_Tb[[#This Row],[Offer Details]])</f>
        <v/>
      </c>
      <c r="K64" s="51" t="str">
        <f aca="false">IF(Matching_Tb[[#This Row],[TT Link]]="", "", IF(Matching_Tb[[#This Row],[Can be matched ? ]] = "No", "", Matching_Tb[[#This Row],[TT Link]]))</f>
        <v/>
      </c>
      <c r="L64" s="26" t="str">
        <f aca="false">IF(Matching_Tb[[#This Row],[Can be matched ? ]] = "", "", Matching_Tb[[#This Row],[Can be matched ? ]])</f>
        <v/>
      </c>
      <c r="M64" s="41" t="str">
        <f aca="false">IF(Matching_Tb[[#This Row],[Rebate type]] = "", "", Matching_Tb[[#This Row],[Rebate type]])</f>
        <v/>
      </c>
      <c r="N64" s="26" t="str">
        <f aca="false">IF('Matching Sheet'!P64="", "", (IF(Site_Content[[#This Row],[Can be matched ? ]]="Yes", "Matched", Matching_Tb[[#This Row],[Comment]])))</f>
        <v/>
      </c>
    </row>
    <row r="65" customFormat="false" ht="14.25" hidden="false" customHeight="false" outlineLevel="0" collapsed="false">
      <c r="A65" s="26" t="str">
        <f aca="false">IF(Matching_Tb[[#This Row],[MKPL]] = "", "", Matching_Tb[[#This Row],[MKPL]])</f>
        <v/>
      </c>
      <c r="B65" s="26" t="str">
        <f aca="false">IF(Matching_Tb[[#This Row],[PL]] = "", "", Matching_Tb[[#This Row],[PL]])</f>
        <v/>
      </c>
      <c r="C65" s="26" t="str">
        <f aca="false">IF(Matching_Tb[[#This Row],[GL]] = "", "", Matching_Tb[[#This Row],[GL]])</f>
        <v/>
      </c>
      <c r="D65" s="50" t="str">
        <f aca="false">IF(Matching_Tb[[#This Row],[Competitor Name]] = "", "", Matching_Tb[[#This Row],[Competitor Name]])</f>
        <v/>
      </c>
      <c r="E65" s="26" t="str">
        <f aca="false">IF(Matching_Tb[[#This Row],[CMT  Set-up]] = "", "", Matching_Tb[[#This Row],[CMT  Set-up]])</f>
        <v/>
      </c>
      <c r="F65" s="27" t="str">
        <f aca="false">IF(Matching_Tb[[#This Row],[Start date]] = "", "", Matching_Tb[[#This Row],[Start date]])</f>
        <v/>
      </c>
      <c r="G65" s="27" t="str">
        <f aca="false">IF(Matching_Tb[[#This Row],[End date]] = "", "", Matching_Tb[[#This Row],[End date]])</f>
        <v/>
      </c>
      <c r="H65" s="51" t="str">
        <f aca="false">IF(Matching_Tb[[#This Row],[Competitor URL]] = "", "", Matching_Tb[[#This Row],[Competitor URL]])</f>
        <v/>
      </c>
      <c r="I65" s="26" t="str">
        <f aca="false">IF(Site_Content[[#This Row],[Competitor Name]] = "", "", IF(Matching_Tb[[#This Row],[Promo code]]="", "N/A", Matching_Tb[[#This Row],[Promo code]]))</f>
        <v/>
      </c>
      <c r="J65" s="26" t="str">
        <f aca="false">IF(Matching_Tb[[#This Row],[Offer Details]] = "", "", Matching_Tb[[#This Row],[Offer Details]])</f>
        <v/>
      </c>
      <c r="K65" s="51" t="str">
        <f aca="false">IF(Matching_Tb[[#This Row],[TT Link]]="", "", IF(Matching_Tb[[#This Row],[Can be matched ? ]] = "No", "", Matching_Tb[[#This Row],[TT Link]]))</f>
        <v/>
      </c>
      <c r="L65" s="26" t="str">
        <f aca="false">IF(Matching_Tb[[#This Row],[Can be matched ? ]] = "", "", Matching_Tb[[#This Row],[Can be matched ? ]])</f>
        <v/>
      </c>
      <c r="M65" s="41" t="str">
        <f aca="false">IF(Matching_Tb[[#This Row],[Rebate type]] = "", "", Matching_Tb[[#This Row],[Rebate type]])</f>
        <v/>
      </c>
      <c r="N65" s="26" t="str">
        <f aca="false">IF('Matching Sheet'!P65="", "", (IF(Site_Content[[#This Row],[Can be matched ? ]]="Yes", "Matched", Matching_Tb[[#This Row],[Comment]])))</f>
        <v/>
      </c>
    </row>
    <row r="66" customFormat="false" ht="14.25" hidden="false" customHeight="false" outlineLevel="0" collapsed="false">
      <c r="A66" s="26" t="str">
        <f aca="false">IF(Matching_Tb[[#This Row],[MKPL]] = "", "", Matching_Tb[[#This Row],[MKPL]])</f>
        <v/>
      </c>
      <c r="B66" s="26" t="str">
        <f aca="false">IF(Matching_Tb[[#This Row],[PL]] = "", "", Matching_Tb[[#This Row],[PL]])</f>
        <v/>
      </c>
      <c r="C66" s="26" t="str">
        <f aca="false">IF(Matching_Tb[[#This Row],[GL]] = "", "", Matching_Tb[[#This Row],[GL]])</f>
        <v/>
      </c>
      <c r="D66" s="50" t="str">
        <f aca="false">IF(Matching_Tb[[#This Row],[Competitor Name]] = "", "", Matching_Tb[[#This Row],[Competitor Name]])</f>
        <v/>
      </c>
      <c r="E66" s="26" t="str">
        <f aca="false">IF(Matching_Tb[[#This Row],[CMT  Set-up]] = "", "", Matching_Tb[[#This Row],[CMT  Set-up]])</f>
        <v/>
      </c>
      <c r="F66" s="27" t="str">
        <f aca="false">IF(Matching_Tb[[#This Row],[Start date]] = "", "", Matching_Tb[[#This Row],[Start date]])</f>
        <v/>
      </c>
      <c r="G66" s="27" t="str">
        <f aca="false">IF(Matching_Tb[[#This Row],[End date]] = "", "", Matching_Tb[[#This Row],[End date]])</f>
        <v/>
      </c>
      <c r="H66" s="51" t="str">
        <f aca="false">IF(Matching_Tb[[#This Row],[Competitor URL]] = "", "", Matching_Tb[[#This Row],[Competitor URL]])</f>
        <v/>
      </c>
      <c r="I66" s="26" t="str">
        <f aca="false">IF(Site_Content[[#This Row],[Competitor Name]] = "", "", IF(Matching_Tb[[#This Row],[Promo code]]="", "N/A", Matching_Tb[[#This Row],[Promo code]]))</f>
        <v/>
      </c>
      <c r="J66" s="26" t="str">
        <f aca="false">IF(Matching_Tb[[#This Row],[Offer Details]] = "", "", Matching_Tb[[#This Row],[Offer Details]])</f>
        <v/>
      </c>
      <c r="K66" s="51" t="str">
        <f aca="false">IF(Matching_Tb[[#This Row],[TT Link]]="", "", IF(Matching_Tb[[#This Row],[Can be matched ? ]] = "No", "", Matching_Tb[[#This Row],[TT Link]]))</f>
        <v/>
      </c>
      <c r="L66" s="26" t="str">
        <f aca="false">IF(Matching_Tb[[#This Row],[Can be matched ? ]] = "", "", Matching_Tb[[#This Row],[Can be matched ? ]])</f>
        <v/>
      </c>
      <c r="M66" s="41" t="str">
        <f aca="false">IF(Matching_Tb[[#This Row],[Rebate type]] = "", "", Matching_Tb[[#This Row],[Rebate type]])</f>
        <v/>
      </c>
      <c r="N66" s="26" t="str">
        <f aca="false">IF('Matching Sheet'!P66="", "", (IF(Site_Content[[#This Row],[Can be matched ? ]]="Yes", "Matched", Matching_Tb[[#This Row],[Comment]])))</f>
        <v/>
      </c>
    </row>
    <row r="67" customFormat="false" ht="14.25" hidden="false" customHeight="false" outlineLevel="0" collapsed="false">
      <c r="A67" s="26" t="str">
        <f aca="false">IF(Matching_Tb[[#This Row],[MKPL]] = "", "", Matching_Tb[[#This Row],[MKPL]])</f>
        <v/>
      </c>
      <c r="B67" s="26" t="str">
        <f aca="false">IF(Matching_Tb[[#This Row],[PL]] = "", "", Matching_Tb[[#This Row],[PL]])</f>
        <v/>
      </c>
      <c r="C67" s="26" t="str">
        <f aca="false">IF(Matching_Tb[[#This Row],[GL]] = "", "", Matching_Tb[[#This Row],[GL]])</f>
        <v/>
      </c>
      <c r="D67" s="50" t="str">
        <f aca="false">IF(Matching_Tb[[#This Row],[Competitor Name]] = "", "", Matching_Tb[[#This Row],[Competitor Name]])</f>
        <v/>
      </c>
      <c r="E67" s="26" t="str">
        <f aca="false">IF(Matching_Tb[[#This Row],[CMT  Set-up]] = "", "", Matching_Tb[[#This Row],[CMT  Set-up]])</f>
        <v/>
      </c>
      <c r="F67" s="27" t="str">
        <f aca="false">IF(Matching_Tb[[#This Row],[Start date]] = "", "", Matching_Tb[[#This Row],[Start date]])</f>
        <v/>
      </c>
      <c r="G67" s="27" t="str">
        <f aca="false">IF(Matching_Tb[[#This Row],[End date]] = "", "", Matching_Tb[[#This Row],[End date]])</f>
        <v/>
      </c>
      <c r="H67" s="51" t="str">
        <f aca="false">IF(Matching_Tb[[#This Row],[Competitor URL]] = "", "", Matching_Tb[[#This Row],[Competitor URL]])</f>
        <v/>
      </c>
      <c r="I67" s="26" t="str">
        <f aca="false">IF(Site_Content[[#This Row],[Competitor Name]] = "", "", IF(Matching_Tb[[#This Row],[Promo code]]="", "N/A", Matching_Tb[[#This Row],[Promo code]]))</f>
        <v/>
      </c>
      <c r="J67" s="26" t="str">
        <f aca="false">IF(Matching_Tb[[#This Row],[Offer Details]] = "", "", Matching_Tb[[#This Row],[Offer Details]])</f>
        <v/>
      </c>
      <c r="K67" s="51" t="str">
        <f aca="false">IF(Matching_Tb[[#This Row],[TT Link]]="", "", IF(Matching_Tb[[#This Row],[Can be matched ? ]] = "No", "", Matching_Tb[[#This Row],[TT Link]]))</f>
        <v/>
      </c>
      <c r="L67" s="26" t="str">
        <f aca="false">IF(Matching_Tb[[#This Row],[Can be matched ? ]] = "", "", Matching_Tb[[#This Row],[Can be matched ? ]])</f>
        <v/>
      </c>
      <c r="M67" s="41" t="str">
        <f aca="false">IF(Matching_Tb[[#This Row],[Rebate type]] = "", "", Matching_Tb[[#This Row],[Rebate type]])</f>
        <v/>
      </c>
      <c r="N67" s="26" t="str">
        <f aca="false">IF('Matching Sheet'!P67="", "", (IF(Site_Content[[#This Row],[Can be matched ? ]]="Yes", "Matched", Matching_Tb[[#This Row],[Comment]])))</f>
        <v/>
      </c>
    </row>
    <row r="68" customFormat="false" ht="14.25" hidden="false" customHeight="false" outlineLevel="0" collapsed="false">
      <c r="A68" s="26" t="str">
        <f aca="false">IF(Matching_Tb[[#This Row],[MKPL]] = "", "", Matching_Tb[[#This Row],[MKPL]])</f>
        <v/>
      </c>
      <c r="B68" s="26" t="str">
        <f aca="false">IF(Matching_Tb[[#This Row],[PL]] = "", "", Matching_Tb[[#This Row],[PL]])</f>
        <v/>
      </c>
      <c r="C68" s="26" t="str">
        <f aca="false">IF(Matching_Tb[[#This Row],[GL]] = "", "", Matching_Tb[[#This Row],[GL]])</f>
        <v/>
      </c>
      <c r="D68" s="50" t="str">
        <f aca="false">IF(Matching_Tb[[#This Row],[Competitor Name]] = "", "", Matching_Tb[[#This Row],[Competitor Name]])</f>
        <v/>
      </c>
      <c r="E68" s="26" t="str">
        <f aca="false">IF(Matching_Tb[[#This Row],[CMT  Set-up]] = "", "", Matching_Tb[[#This Row],[CMT  Set-up]])</f>
        <v/>
      </c>
      <c r="F68" s="27" t="str">
        <f aca="false">IF(Matching_Tb[[#This Row],[Start date]] = "", "", Matching_Tb[[#This Row],[Start date]])</f>
        <v/>
      </c>
      <c r="G68" s="27" t="str">
        <f aca="false">IF(Matching_Tb[[#This Row],[End date]] = "", "", Matching_Tb[[#This Row],[End date]])</f>
        <v/>
      </c>
      <c r="H68" s="51" t="str">
        <f aca="false">IF(Matching_Tb[[#This Row],[Competitor URL]] = "", "", Matching_Tb[[#This Row],[Competitor URL]])</f>
        <v/>
      </c>
      <c r="I68" s="26" t="str">
        <f aca="false">IF(Site_Content[[#This Row],[Competitor Name]] = "", "", IF(Matching_Tb[[#This Row],[Promo code]]="", "N/A", Matching_Tb[[#This Row],[Promo code]]))</f>
        <v/>
      </c>
      <c r="J68" s="26" t="str">
        <f aca="false">IF(Matching_Tb[[#This Row],[Offer Details]] = "", "", Matching_Tb[[#This Row],[Offer Details]])</f>
        <v/>
      </c>
      <c r="K68" s="51" t="str">
        <f aca="false">IF(Matching_Tb[[#This Row],[TT Link]]="", "", IF(Matching_Tb[[#This Row],[Can be matched ? ]] = "No", "", Matching_Tb[[#This Row],[TT Link]]))</f>
        <v/>
      </c>
      <c r="L68" s="26" t="str">
        <f aca="false">IF(Matching_Tb[[#This Row],[Can be matched ? ]] = "", "", Matching_Tb[[#This Row],[Can be matched ? ]])</f>
        <v/>
      </c>
      <c r="M68" s="41" t="str">
        <f aca="false">IF(Matching_Tb[[#This Row],[Rebate type]] = "", "", Matching_Tb[[#This Row],[Rebate type]])</f>
        <v/>
      </c>
      <c r="N68" s="26" t="str">
        <f aca="false">IF('Matching Sheet'!P68="", "", (IF(Site_Content[[#This Row],[Can be matched ? ]]="Yes", "Matched", Matching_Tb[[#This Row],[Comment]])))</f>
        <v/>
      </c>
    </row>
    <row r="69" customFormat="false" ht="14.25" hidden="false" customHeight="false" outlineLevel="0" collapsed="false">
      <c r="A69" s="26" t="str">
        <f aca="false">IF(Matching_Tb[[#This Row],[MKPL]] = "", "", Matching_Tb[[#This Row],[MKPL]])</f>
        <v/>
      </c>
      <c r="B69" s="26" t="str">
        <f aca="false">IF(Matching_Tb[[#This Row],[PL]] = "", "", Matching_Tb[[#This Row],[PL]])</f>
        <v/>
      </c>
      <c r="C69" s="26" t="str">
        <f aca="false">IF(Matching_Tb[[#This Row],[GL]] = "", "", Matching_Tb[[#This Row],[GL]])</f>
        <v/>
      </c>
      <c r="D69" s="50" t="str">
        <f aca="false">IF(Matching_Tb[[#This Row],[Competitor Name]] = "", "", Matching_Tb[[#This Row],[Competitor Name]])</f>
        <v/>
      </c>
      <c r="E69" s="26" t="str">
        <f aca="false">IF(Matching_Tb[[#This Row],[CMT  Set-up]] = "", "", Matching_Tb[[#This Row],[CMT  Set-up]])</f>
        <v/>
      </c>
      <c r="F69" s="27" t="str">
        <f aca="false">IF(Matching_Tb[[#This Row],[Start date]] = "", "", Matching_Tb[[#This Row],[Start date]])</f>
        <v/>
      </c>
      <c r="G69" s="27" t="str">
        <f aca="false">IF(Matching_Tb[[#This Row],[End date]] = "", "", Matching_Tb[[#This Row],[End date]])</f>
        <v/>
      </c>
      <c r="H69" s="51" t="str">
        <f aca="false">IF(Matching_Tb[[#This Row],[Competitor URL]] = "", "", Matching_Tb[[#This Row],[Competitor URL]])</f>
        <v/>
      </c>
      <c r="I69" s="26" t="str">
        <f aca="false">IF(Site_Content[[#This Row],[Competitor Name]] = "", "", IF(Matching_Tb[[#This Row],[Promo code]]="", "N/A", Matching_Tb[[#This Row],[Promo code]]))</f>
        <v/>
      </c>
      <c r="J69" s="26" t="str">
        <f aca="false">IF(Matching_Tb[[#This Row],[Offer Details]] = "", "", Matching_Tb[[#This Row],[Offer Details]])</f>
        <v/>
      </c>
      <c r="K69" s="51" t="str">
        <f aca="false">IF(Matching_Tb[[#This Row],[TT Link]]="", "", IF(Matching_Tb[[#This Row],[Can be matched ? ]] = "No", "", Matching_Tb[[#This Row],[TT Link]]))</f>
        <v/>
      </c>
      <c r="L69" s="26" t="str">
        <f aca="false">IF(Matching_Tb[[#This Row],[Can be matched ? ]] = "", "", Matching_Tb[[#This Row],[Can be matched ? ]])</f>
        <v/>
      </c>
      <c r="M69" s="41" t="str">
        <f aca="false">IF(Matching_Tb[[#This Row],[Rebate type]] = "", "", Matching_Tb[[#This Row],[Rebate type]])</f>
        <v/>
      </c>
      <c r="N69" s="26" t="str">
        <f aca="false">IF('Matching Sheet'!P69="", "", (IF(Site_Content[[#This Row],[Can be matched ? ]]="Yes", "Matched", Matching_Tb[[#This Row],[Comment]])))</f>
        <v/>
      </c>
    </row>
    <row r="70" customFormat="false" ht="14.25" hidden="false" customHeight="false" outlineLevel="0" collapsed="false">
      <c r="A70" s="26" t="str">
        <f aca="false">IF(Matching_Tb[[#This Row],[MKPL]] = "", "", Matching_Tb[[#This Row],[MKPL]])</f>
        <v/>
      </c>
      <c r="B70" s="26" t="str">
        <f aca="false">IF(Matching_Tb[[#This Row],[PL]] = "", "", Matching_Tb[[#This Row],[PL]])</f>
        <v/>
      </c>
      <c r="C70" s="26" t="str">
        <f aca="false">IF(Matching_Tb[[#This Row],[GL]] = "", "", Matching_Tb[[#This Row],[GL]])</f>
        <v/>
      </c>
      <c r="D70" s="50" t="str">
        <f aca="false">IF(Matching_Tb[[#This Row],[Competitor Name]] = "", "", Matching_Tb[[#This Row],[Competitor Name]])</f>
        <v/>
      </c>
      <c r="E70" s="26" t="str">
        <f aca="false">IF(Matching_Tb[[#This Row],[CMT  Set-up]] = "", "", Matching_Tb[[#This Row],[CMT  Set-up]])</f>
        <v/>
      </c>
      <c r="F70" s="27" t="str">
        <f aca="false">IF(Matching_Tb[[#This Row],[Start date]] = "", "", Matching_Tb[[#This Row],[Start date]])</f>
        <v/>
      </c>
      <c r="G70" s="27" t="str">
        <f aca="false">IF(Matching_Tb[[#This Row],[End date]] = "", "", Matching_Tb[[#This Row],[End date]])</f>
        <v/>
      </c>
      <c r="H70" s="51" t="str">
        <f aca="false">IF(Matching_Tb[[#This Row],[Competitor URL]] = "", "", Matching_Tb[[#This Row],[Competitor URL]])</f>
        <v/>
      </c>
      <c r="I70" s="26" t="str">
        <f aca="false">IF(Site_Content[[#This Row],[Competitor Name]] = "", "", IF(Matching_Tb[[#This Row],[Promo code]]="", "N/A", Matching_Tb[[#This Row],[Promo code]]))</f>
        <v/>
      </c>
      <c r="J70" s="26" t="str">
        <f aca="false">IF(Matching_Tb[[#This Row],[Offer Details]] = "", "", Matching_Tb[[#This Row],[Offer Details]])</f>
        <v/>
      </c>
      <c r="K70" s="51" t="str">
        <f aca="false">IF(Matching_Tb[[#This Row],[TT Link]]="", "", IF(Matching_Tb[[#This Row],[Can be matched ? ]] = "No", "", Matching_Tb[[#This Row],[TT Link]]))</f>
        <v/>
      </c>
      <c r="L70" s="26" t="str">
        <f aca="false">IF(Matching_Tb[[#This Row],[Can be matched ? ]] = "", "", Matching_Tb[[#This Row],[Can be matched ? ]])</f>
        <v/>
      </c>
      <c r="M70" s="41" t="str">
        <f aca="false">IF(Matching_Tb[[#This Row],[Rebate type]] = "", "", Matching_Tb[[#This Row],[Rebate type]])</f>
        <v/>
      </c>
      <c r="N70" s="26" t="str">
        <f aca="false">IF('Matching Sheet'!P70="", "", (IF(Site_Content[[#This Row],[Can be matched ? ]]="Yes", "Matched", Matching_Tb[[#This Row],[Comment]])))</f>
        <v/>
      </c>
    </row>
    <row r="71" customFormat="false" ht="14.25" hidden="false" customHeight="false" outlineLevel="0" collapsed="false">
      <c r="A71" s="26" t="str">
        <f aca="false">IF(Matching_Tb[[#This Row],[MKPL]] = "", "", Matching_Tb[[#This Row],[MKPL]])</f>
        <v/>
      </c>
      <c r="B71" s="26" t="str">
        <f aca="false">IF(Matching_Tb[[#This Row],[PL]] = "", "", Matching_Tb[[#This Row],[PL]])</f>
        <v/>
      </c>
      <c r="C71" s="26" t="str">
        <f aca="false">IF(Matching_Tb[[#This Row],[GL]] = "", "", Matching_Tb[[#This Row],[GL]])</f>
        <v/>
      </c>
      <c r="D71" s="50" t="str">
        <f aca="false">IF(Matching_Tb[[#This Row],[Competitor Name]] = "", "", Matching_Tb[[#This Row],[Competitor Name]])</f>
        <v/>
      </c>
      <c r="E71" s="26" t="str">
        <f aca="false">IF(Matching_Tb[[#This Row],[CMT  Set-up]] = "", "", Matching_Tb[[#This Row],[CMT  Set-up]])</f>
        <v/>
      </c>
      <c r="F71" s="27" t="str">
        <f aca="false">IF(Matching_Tb[[#This Row],[Start date]] = "", "", Matching_Tb[[#This Row],[Start date]])</f>
        <v/>
      </c>
      <c r="G71" s="27" t="str">
        <f aca="false">IF(Matching_Tb[[#This Row],[End date]] = "", "", Matching_Tb[[#This Row],[End date]])</f>
        <v/>
      </c>
      <c r="H71" s="51" t="str">
        <f aca="false">IF(Matching_Tb[[#This Row],[Competitor URL]] = "", "", Matching_Tb[[#This Row],[Competitor URL]])</f>
        <v/>
      </c>
      <c r="I71" s="26" t="str">
        <f aca="false">IF(Site_Content[[#This Row],[Competitor Name]] = "", "", IF(Matching_Tb[[#This Row],[Promo code]]="", "N/A", Matching_Tb[[#This Row],[Promo code]]))</f>
        <v/>
      </c>
      <c r="J71" s="26" t="str">
        <f aca="false">IF(Matching_Tb[[#This Row],[Offer Details]] = "", "", Matching_Tb[[#This Row],[Offer Details]])</f>
        <v/>
      </c>
      <c r="K71" s="51" t="str">
        <f aca="false">IF(Matching_Tb[[#This Row],[TT Link]]="", "", IF(Matching_Tb[[#This Row],[Can be matched ? ]] = "No", "", Matching_Tb[[#This Row],[TT Link]]))</f>
        <v/>
      </c>
      <c r="L71" s="26" t="str">
        <f aca="false">IF(Matching_Tb[[#This Row],[Can be matched ? ]] = "", "", Matching_Tb[[#This Row],[Can be matched ? ]])</f>
        <v/>
      </c>
      <c r="M71" s="41" t="str">
        <f aca="false">IF(Matching_Tb[[#This Row],[Rebate type]] = "", "", Matching_Tb[[#This Row],[Rebate type]])</f>
        <v/>
      </c>
      <c r="N71" s="26" t="str">
        <f aca="false">IF('Matching Sheet'!P71="", "", (IF(Site_Content[[#This Row],[Can be matched ? ]]="Yes", "Matched", Matching_Tb[[#This Row],[Comment]])))</f>
        <v/>
      </c>
    </row>
    <row r="72" customFormat="false" ht="14.25" hidden="false" customHeight="false" outlineLevel="0" collapsed="false">
      <c r="A72" s="26" t="str">
        <f aca="false">IF(Matching_Tb[[#This Row],[MKPL]] = "", "", Matching_Tb[[#This Row],[MKPL]])</f>
        <v/>
      </c>
      <c r="B72" s="26" t="str">
        <f aca="false">IF(Matching_Tb[[#This Row],[PL]] = "", "", Matching_Tb[[#This Row],[PL]])</f>
        <v/>
      </c>
      <c r="C72" s="26" t="str">
        <f aca="false">IF(Matching_Tb[[#This Row],[GL]] = "", "", Matching_Tb[[#This Row],[GL]])</f>
        <v/>
      </c>
      <c r="D72" s="50" t="str">
        <f aca="false">IF(Matching_Tb[[#This Row],[Competitor Name]] = "", "", Matching_Tb[[#This Row],[Competitor Name]])</f>
        <v/>
      </c>
      <c r="E72" s="26" t="str">
        <f aca="false">IF(Matching_Tb[[#This Row],[CMT  Set-up]] = "", "", Matching_Tb[[#This Row],[CMT  Set-up]])</f>
        <v/>
      </c>
      <c r="F72" s="27" t="str">
        <f aca="false">IF(Matching_Tb[[#This Row],[Start date]] = "", "", Matching_Tb[[#This Row],[Start date]])</f>
        <v/>
      </c>
      <c r="G72" s="27" t="str">
        <f aca="false">IF(Matching_Tb[[#This Row],[End date]] = "", "", Matching_Tb[[#This Row],[End date]])</f>
        <v/>
      </c>
      <c r="H72" s="51" t="str">
        <f aca="false">IF(Matching_Tb[[#This Row],[Competitor URL]] = "", "", Matching_Tb[[#This Row],[Competitor URL]])</f>
        <v/>
      </c>
      <c r="I72" s="26" t="str">
        <f aca="false">IF(Site_Content[[#This Row],[Competitor Name]] = "", "", IF(Matching_Tb[[#This Row],[Promo code]]="", "N/A", Matching_Tb[[#This Row],[Promo code]]))</f>
        <v/>
      </c>
      <c r="J72" s="26" t="str">
        <f aca="false">IF(Matching_Tb[[#This Row],[Offer Details]] = "", "", Matching_Tb[[#This Row],[Offer Details]])</f>
        <v/>
      </c>
      <c r="K72" s="51" t="str">
        <f aca="false">IF(Matching_Tb[[#This Row],[TT Link]]="", "", IF(Matching_Tb[[#This Row],[Can be matched ? ]] = "No", "", Matching_Tb[[#This Row],[TT Link]]))</f>
        <v/>
      </c>
      <c r="L72" s="26" t="str">
        <f aca="false">IF(Matching_Tb[[#This Row],[Can be matched ? ]] = "", "", Matching_Tb[[#This Row],[Can be matched ? ]])</f>
        <v/>
      </c>
      <c r="M72" s="41" t="str">
        <f aca="false">IF(Matching_Tb[[#This Row],[Rebate type]] = "", "", Matching_Tb[[#This Row],[Rebate type]])</f>
        <v/>
      </c>
      <c r="N72" s="26" t="str">
        <f aca="false">IF('Matching Sheet'!P72="", "", (IF(Site_Content[[#This Row],[Can be matched ? ]]="Yes", "Matched", Matching_Tb[[#This Row],[Comment]])))</f>
        <v/>
      </c>
    </row>
    <row r="73" customFormat="false" ht="14.25" hidden="false" customHeight="false" outlineLevel="0" collapsed="false">
      <c r="A73" s="26" t="str">
        <f aca="false">IF(Matching_Tb[[#This Row],[MKPL]] = "", "", Matching_Tb[[#This Row],[MKPL]])</f>
        <v/>
      </c>
      <c r="B73" s="26" t="str">
        <f aca="false">IF(Matching_Tb[[#This Row],[PL]] = "", "", Matching_Tb[[#This Row],[PL]])</f>
        <v/>
      </c>
      <c r="C73" s="26" t="str">
        <f aca="false">IF(Matching_Tb[[#This Row],[GL]] = "", "", Matching_Tb[[#This Row],[GL]])</f>
        <v/>
      </c>
      <c r="D73" s="50" t="str">
        <f aca="false">IF(Matching_Tb[[#This Row],[Competitor Name]] = "", "", Matching_Tb[[#This Row],[Competitor Name]])</f>
        <v/>
      </c>
      <c r="E73" s="26" t="str">
        <f aca="false">IF(Matching_Tb[[#This Row],[CMT  Set-up]] = "", "", Matching_Tb[[#This Row],[CMT  Set-up]])</f>
        <v/>
      </c>
      <c r="F73" s="27" t="str">
        <f aca="false">IF(Matching_Tb[[#This Row],[Start date]] = "", "", Matching_Tb[[#This Row],[Start date]])</f>
        <v/>
      </c>
      <c r="G73" s="27" t="str">
        <f aca="false">IF(Matching_Tb[[#This Row],[End date]] = "", "", Matching_Tb[[#This Row],[End date]])</f>
        <v/>
      </c>
      <c r="H73" s="51" t="str">
        <f aca="false">IF(Matching_Tb[[#This Row],[Competitor URL]] = "", "", Matching_Tb[[#This Row],[Competitor URL]])</f>
        <v/>
      </c>
      <c r="I73" s="26" t="str">
        <f aca="false">IF(Site_Content[[#This Row],[Competitor Name]] = "", "", IF(Matching_Tb[[#This Row],[Promo code]]="", "N/A", Matching_Tb[[#This Row],[Promo code]]))</f>
        <v/>
      </c>
      <c r="J73" s="26" t="str">
        <f aca="false">IF(Matching_Tb[[#This Row],[Offer Details]] = "", "", Matching_Tb[[#This Row],[Offer Details]])</f>
        <v/>
      </c>
      <c r="K73" s="51" t="str">
        <f aca="false">IF(Matching_Tb[[#This Row],[TT Link]]="", "", IF(Matching_Tb[[#This Row],[Can be matched ? ]] = "No", "", Matching_Tb[[#This Row],[TT Link]]))</f>
        <v/>
      </c>
      <c r="L73" s="26" t="str">
        <f aca="false">IF(Matching_Tb[[#This Row],[Can be matched ? ]] = "", "", Matching_Tb[[#This Row],[Can be matched ? ]])</f>
        <v/>
      </c>
      <c r="M73" s="41" t="str">
        <f aca="false">IF(Matching_Tb[[#This Row],[Rebate type]] = "", "", Matching_Tb[[#This Row],[Rebate type]])</f>
        <v/>
      </c>
      <c r="N73" s="26" t="str">
        <f aca="false">IF('Matching Sheet'!P73="", "", (IF(Site_Content[[#This Row],[Can be matched ? ]]="Yes", "Matched", Matching_Tb[[#This Row],[Comment]])))</f>
        <v/>
      </c>
    </row>
    <row r="74" customFormat="false" ht="14.25" hidden="false" customHeight="false" outlineLevel="0" collapsed="false">
      <c r="A74" s="26" t="str">
        <f aca="false">IF(Matching_Tb[[#This Row],[MKPL]] = "", "", Matching_Tb[[#This Row],[MKPL]])</f>
        <v/>
      </c>
      <c r="B74" s="26" t="str">
        <f aca="false">IF(Matching_Tb[[#This Row],[PL]] = "", "", Matching_Tb[[#This Row],[PL]])</f>
        <v/>
      </c>
      <c r="C74" s="26" t="str">
        <f aca="false">IF(Matching_Tb[[#This Row],[GL]] = "", "", Matching_Tb[[#This Row],[GL]])</f>
        <v/>
      </c>
      <c r="D74" s="50" t="str">
        <f aca="false">IF(Matching_Tb[[#This Row],[Competitor Name]] = "", "", Matching_Tb[[#This Row],[Competitor Name]])</f>
        <v/>
      </c>
      <c r="E74" s="26" t="str">
        <f aca="false">IF(Matching_Tb[[#This Row],[CMT  Set-up]] = "", "", Matching_Tb[[#This Row],[CMT  Set-up]])</f>
        <v/>
      </c>
      <c r="F74" s="27" t="str">
        <f aca="false">IF(Matching_Tb[[#This Row],[Start date]] = "", "", Matching_Tb[[#This Row],[Start date]])</f>
        <v/>
      </c>
      <c r="G74" s="27" t="str">
        <f aca="false">IF(Matching_Tb[[#This Row],[End date]] = "", "", Matching_Tb[[#This Row],[End date]])</f>
        <v/>
      </c>
      <c r="H74" s="51" t="str">
        <f aca="false">IF(Matching_Tb[[#This Row],[Competitor URL]] = "", "", Matching_Tb[[#This Row],[Competitor URL]])</f>
        <v/>
      </c>
      <c r="I74" s="26" t="str">
        <f aca="false">IF(Site_Content[[#This Row],[Competitor Name]] = "", "", IF(Matching_Tb[[#This Row],[Promo code]]="", "N/A", Matching_Tb[[#This Row],[Promo code]]))</f>
        <v/>
      </c>
      <c r="J74" s="26" t="str">
        <f aca="false">IF(Matching_Tb[[#This Row],[Offer Details]] = "", "", Matching_Tb[[#This Row],[Offer Details]])</f>
        <v/>
      </c>
      <c r="K74" s="51" t="str">
        <f aca="false">IF(Matching_Tb[[#This Row],[TT Link]]="", "", IF(Matching_Tb[[#This Row],[Can be matched ? ]] = "No", "", Matching_Tb[[#This Row],[TT Link]]))</f>
        <v/>
      </c>
      <c r="L74" s="26" t="str">
        <f aca="false">IF(Matching_Tb[[#This Row],[Can be matched ? ]] = "", "", Matching_Tb[[#This Row],[Can be matched ? ]])</f>
        <v/>
      </c>
      <c r="M74" s="41" t="str">
        <f aca="false">IF(Matching_Tb[[#This Row],[Rebate type]] = "", "", Matching_Tb[[#This Row],[Rebate type]])</f>
        <v/>
      </c>
      <c r="N74" s="26" t="str">
        <f aca="false">IF('Matching Sheet'!P74="", "", (IF(Site_Content[[#This Row],[Can be matched ? ]]="Yes", "Matched", Matching_Tb[[#This Row],[Comment]])))</f>
        <v/>
      </c>
    </row>
    <row r="75" customFormat="false" ht="14.25" hidden="false" customHeight="false" outlineLevel="0" collapsed="false">
      <c r="A75" s="26" t="str">
        <f aca="false">IF(Matching_Tb[[#This Row],[MKPL]] = "", "", Matching_Tb[[#This Row],[MKPL]])</f>
        <v/>
      </c>
      <c r="B75" s="26" t="str">
        <f aca="false">IF(Matching_Tb[[#This Row],[PL]] = "", "", Matching_Tb[[#This Row],[PL]])</f>
        <v/>
      </c>
      <c r="C75" s="26" t="str">
        <f aca="false">IF(Matching_Tb[[#This Row],[GL]] = "", "", Matching_Tb[[#This Row],[GL]])</f>
        <v/>
      </c>
      <c r="D75" s="50" t="str">
        <f aca="false">IF(Matching_Tb[[#This Row],[Competitor Name]] = "", "", Matching_Tb[[#This Row],[Competitor Name]])</f>
        <v/>
      </c>
      <c r="E75" s="26" t="str">
        <f aca="false">IF(Matching_Tb[[#This Row],[CMT  Set-up]] = "", "", Matching_Tb[[#This Row],[CMT  Set-up]])</f>
        <v/>
      </c>
      <c r="F75" s="27" t="str">
        <f aca="false">IF(Matching_Tb[[#This Row],[Start date]] = "", "", Matching_Tb[[#This Row],[Start date]])</f>
        <v/>
      </c>
      <c r="G75" s="27" t="str">
        <f aca="false">IF(Matching_Tb[[#This Row],[End date]] = "", "", Matching_Tb[[#This Row],[End date]])</f>
        <v/>
      </c>
      <c r="H75" s="51" t="str">
        <f aca="false">IF(Matching_Tb[[#This Row],[Competitor URL]] = "", "", Matching_Tb[[#This Row],[Competitor URL]])</f>
        <v/>
      </c>
      <c r="I75" s="26" t="str">
        <f aca="false">IF(Site_Content[[#This Row],[Competitor Name]] = "", "", IF(Matching_Tb[[#This Row],[Promo code]]="", "N/A", Matching_Tb[[#This Row],[Promo code]]))</f>
        <v/>
      </c>
      <c r="J75" s="26" t="str">
        <f aca="false">IF(Matching_Tb[[#This Row],[Offer Details]] = "", "", Matching_Tb[[#This Row],[Offer Details]])</f>
        <v/>
      </c>
      <c r="K75" s="51" t="str">
        <f aca="false">IF(Matching_Tb[[#This Row],[TT Link]]="", "", IF(Matching_Tb[[#This Row],[Can be matched ? ]] = "No", "", Matching_Tb[[#This Row],[TT Link]]))</f>
        <v/>
      </c>
      <c r="L75" s="26" t="str">
        <f aca="false">IF(Matching_Tb[[#This Row],[Can be matched ? ]] = "", "", Matching_Tb[[#This Row],[Can be matched ? ]])</f>
        <v/>
      </c>
      <c r="M75" s="41" t="str">
        <f aca="false">IF(Matching_Tb[[#This Row],[Rebate type]] = "", "", Matching_Tb[[#This Row],[Rebate type]])</f>
        <v/>
      </c>
      <c r="N75" s="26" t="str">
        <f aca="false">IF('Matching Sheet'!P75="", "", (IF(Site_Content[[#This Row],[Can be matched ? ]]="Yes", "Matched", Matching_Tb[[#This Row],[Comment]])))</f>
        <v/>
      </c>
    </row>
    <row r="76" customFormat="false" ht="14.25" hidden="false" customHeight="false" outlineLevel="0" collapsed="false">
      <c r="A76" s="26" t="str">
        <f aca="false">IF(Matching_Tb[[#This Row],[MKPL]] = "", "", Matching_Tb[[#This Row],[MKPL]])</f>
        <v/>
      </c>
      <c r="B76" s="26" t="str">
        <f aca="false">IF(Matching_Tb[[#This Row],[PL]] = "", "", Matching_Tb[[#This Row],[PL]])</f>
        <v/>
      </c>
      <c r="C76" s="26" t="str">
        <f aca="false">IF(Matching_Tb[[#This Row],[GL]] = "", "", Matching_Tb[[#This Row],[GL]])</f>
        <v/>
      </c>
      <c r="D76" s="50" t="str">
        <f aca="false">IF(Matching_Tb[[#This Row],[Competitor Name]] = "", "", Matching_Tb[[#This Row],[Competitor Name]])</f>
        <v/>
      </c>
      <c r="E76" s="26" t="str">
        <f aca="false">IF(Matching_Tb[[#This Row],[CMT  Set-up]] = "", "", Matching_Tb[[#This Row],[CMT  Set-up]])</f>
        <v/>
      </c>
      <c r="F76" s="27" t="str">
        <f aca="false">IF(Matching_Tb[[#This Row],[Start date]] = "", "", Matching_Tb[[#This Row],[Start date]])</f>
        <v/>
      </c>
      <c r="G76" s="27" t="str">
        <f aca="false">IF(Matching_Tb[[#This Row],[End date]] = "", "", Matching_Tb[[#This Row],[End date]])</f>
        <v/>
      </c>
      <c r="H76" s="51" t="str">
        <f aca="false">IF(Matching_Tb[[#This Row],[Competitor URL]] = "", "", Matching_Tb[[#This Row],[Competitor URL]])</f>
        <v/>
      </c>
      <c r="I76" s="26" t="str">
        <f aca="false">IF(Site_Content[[#This Row],[Competitor Name]] = "", "", IF(Matching_Tb[[#This Row],[Promo code]]="", "N/A", Matching_Tb[[#This Row],[Promo code]]))</f>
        <v/>
      </c>
      <c r="J76" s="26" t="str">
        <f aca="false">IF(Matching_Tb[[#This Row],[Offer Details]] = "", "", Matching_Tb[[#This Row],[Offer Details]])</f>
        <v/>
      </c>
      <c r="K76" s="51" t="str">
        <f aca="false">IF(Matching_Tb[[#This Row],[TT Link]]="", "", IF(Matching_Tb[[#This Row],[Can be matched ? ]] = "No", "", Matching_Tb[[#This Row],[TT Link]]))</f>
        <v/>
      </c>
      <c r="L76" s="26" t="str">
        <f aca="false">IF(Matching_Tb[[#This Row],[Can be matched ? ]] = "", "", Matching_Tb[[#This Row],[Can be matched ? ]])</f>
        <v/>
      </c>
      <c r="M76" s="41" t="str">
        <f aca="false">IF(Matching_Tb[[#This Row],[Rebate type]] = "", "", Matching_Tb[[#This Row],[Rebate type]])</f>
        <v/>
      </c>
      <c r="N76" s="26" t="str">
        <f aca="false">IF('Matching Sheet'!P76="", "", (IF(Site_Content[[#This Row],[Can be matched ? ]]="Yes", "Matched", Matching_Tb[[#This Row],[Comment]])))</f>
        <v/>
      </c>
    </row>
    <row r="77" customFormat="false" ht="14.25" hidden="false" customHeight="false" outlineLevel="0" collapsed="false">
      <c r="A77" s="26" t="str">
        <f aca="false">IF(Matching_Tb[[#This Row],[MKPL]] = "", "", Matching_Tb[[#This Row],[MKPL]])</f>
        <v/>
      </c>
      <c r="B77" s="26" t="str">
        <f aca="false">IF(Matching_Tb[[#This Row],[PL]] = "", "", Matching_Tb[[#This Row],[PL]])</f>
        <v/>
      </c>
      <c r="C77" s="26" t="str">
        <f aca="false">IF(Matching_Tb[[#This Row],[GL]] = "", "", Matching_Tb[[#This Row],[GL]])</f>
        <v/>
      </c>
      <c r="D77" s="50" t="str">
        <f aca="false">IF(Matching_Tb[[#This Row],[Competitor Name]] = "", "", Matching_Tb[[#This Row],[Competitor Name]])</f>
        <v/>
      </c>
      <c r="E77" s="26" t="str">
        <f aca="false">IF(Matching_Tb[[#This Row],[CMT  Set-up]] = "", "", Matching_Tb[[#This Row],[CMT  Set-up]])</f>
        <v/>
      </c>
      <c r="F77" s="27" t="str">
        <f aca="false">IF(Matching_Tb[[#This Row],[Start date]] = "", "", Matching_Tb[[#This Row],[Start date]])</f>
        <v/>
      </c>
      <c r="G77" s="27" t="str">
        <f aca="false">IF(Matching_Tb[[#This Row],[End date]] = "", "", Matching_Tb[[#This Row],[End date]])</f>
        <v/>
      </c>
      <c r="H77" s="51" t="str">
        <f aca="false">IF(Matching_Tb[[#This Row],[Competitor URL]] = "", "", Matching_Tb[[#This Row],[Competitor URL]])</f>
        <v/>
      </c>
      <c r="I77" s="26" t="str">
        <f aca="false">IF(Site_Content[[#This Row],[Competitor Name]] = "", "", IF(Matching_Tb[[#This Row],[Promo code]]="", "N/A", Matching_Tb[[#This Row],[Promo code]]))</f>
        <v/>
      </c>
      <c r="J77" s="26" t="str">
        <f aca="false">IF(Matching_Tb[[#This Row],[Offer Details]] = "", "", Matching_Tb[[#This Row],[Offer Details]])</f>
        <v/>
      </c>
      <c r="K77" s="51" t="str">
        <f aca="false">IF(Matching_Tb[[#This Row],[TT Link]]="", "", IF(Matching_Tb[[#This Row],[Can be matched ? ]] = "No", "", Matching_Tb[[#This Row],[TT Link]]))</f>
        <v/>
      </c>
      <c r="L77" s="26" t="str">
        <f aca="false">IF(Matching_Tb[[#This Row],[Can be matched ? ]] = "", "", Matching_Tb[[#This Row],[Can be matched ? ]])</f>
        <v/>
      </c>
      <c r="M77" s="41" t="str">
        <f aca="false">IF(Matching_Tb[[#This Row],[Rebate type]] = "", "", Matching_Tb[[#This Row],[Rebate type]])</f>
        <v/>
      </c>
      <c r="N77" s="26" t="str">
        <f aca="false">IF('Matching Sheet'!P77="", "", (IF(Site_Content[[#This Row],[Can be matched ? ]]="Yes", "Matched", Matching_Tb[[#This Row],[Comment]])))</f>
        <v/>
      </c>
    </row>
    <row r="78" customFormat="false" ht="14.25" hidden="false" customHeight="false" outlineLevel="0" collapsed="false">
      <c r="A78" s="26" t="str">
        <f aca="false">IF(Matching_Tb[[#This Row],[MKPL]] = "", "", Matching_Tb[[#This Row],[MKPL]])</f>
        <v/>
      </c>
      <c r="B78" s="26" t="str">
        <f aca="false">IF(Matching_Tb[[#This Row],[PL]] = "", "", Matching_Tb[[#This Row],[PL]])</f>
        <v/>
      </c>
      <c r="C78" s="26" t="str">
        <f aca="false">IF(Matching_Tb[[#This Row],[GL]] = "", "", Matching_Tb[[#This Row],[GL]])</f>
        <v/>
      </c>
      <c r="D78" s="50" t="str">
        <f aca="false">IF(Matching_Tb[[#This Row],[Competitor Name]] = "", "", Matching_Tb[[#This Row],[Competitor Name]])</f>
        <v/>
      </c>
      <c r="E78" s="26" t="str">
        <f aca="false">IF(Matching_Tb[[#This Row],[CMT  Set-up]] = "", "", Matching_Tb[[#This Row],[CMT  Set-up]])</f>
        <v/>
      </c>
      <c r="F78" s="27" t="str">
        <f aca="false">IF(Matching_Tb[[#This Row],[Start date]] = "", "", Matching_Tb[[#This Row],[Start date]])</f>
        <v/>
      </c>
      <c r="G78" s="27" t="str">
        <f aca="false">IF(Matching_Tb[[#This Row],[End date]] = "", "", Matching_Tb[[#This Row],[End date]])</f>
        <v/>
      </c>
      <c r="H78" s="51" t="str">
        <f aca="false">IF(Matching_Tb[[#This Row],[Competitor URL]] = "", "", Matching_Tb[[#This Row],[Competitor URL]])</f>
        <v/>
      </c>
      <c r="I78" s="26" t="str">
        <f aca="false">IF(Site_Content[[#This Row],[Competitor Name]] = "", "", IF(Matching_Tb[[#This Row],[Promo code]]="", "N/A", Matching_Tb[[#This Row],[Promo code]]))</f>
        <v/>
      </c>
      <c r="J78" s="26" t="str">
        <f aca="false">IF(Matching_Tb[[#This Row],[Offer Details]] = "", "", Matching_Tb[[#This Row],[Offer Details]])</f>
        <v/>
      </c>
      <c r="K78" s="51" t="str">
        <f aca="false">IF(Matching_Tb[[#This Row],[TT Link]]="", "", IF(Matching_Tb[[#This Row],[Can be matched ? ]] = "No", "", Matching_Tb[[#This Row],[TT Link]]))</f>
        <v/>
      </c>
      <c r="L78" s="26" t="str">
        <f aca="false">IF(Matching_Tb[[#This Row],[Can be matched ? ]] = "", "", Matching_Tb[[#This Row],[Can be matched ? ]])</f>
        <v/>
      </c>
      <c r="M78" s="41" t="str">
        <f aca="false">IF(Matching_Tb[[#This Row],[Rebate type]] = "", "", Matching_Tb[[#This Row],[Rebate type]])</f>
        <v/>
      </c>
      <c r="N78" s="26" t="str">
        <f aca="false">IF('Matching Sheet'!P78="", "", (IF(Site_Content[[#This Row],[Can be matched ? ]]="Yes", "Matched", Matching_Tb[[#This Row],[Comment]])))</f>
        <v/>
      </c>
    </row>
    <row r="79" customFormat="false" ht="14.25" hidden="false" customHeight="false" outlineLevel="0" collapsed="false">
      <c r="A79" s="26" t="str">
        <f aca="false">IF(Matching_Tb[[#This Row],[MKPL]] = "", "", Matching_Tb[[#This Row],[MKPL]])</f>
        <v/>
      </c>
      <c r="B79" s="26" t="str">
        <f aca="false">IF(Matching_Tb[[#This Row],[PL]] = "", "", Matching_Tb[[#This Row],[PL]])</f>
        <v/>
      </c>
      <c r="C79" s="26" t="str">
        <f aca="false">IF(Matching_Tb[[#This Row],[GL]] = "", "", Matching_Tb[[#This Row],[GL]])</f>
        <v/>
      </c>
      <c r="D79" s="50" t="str">
        <f aca="false">IF(Matching_Tb[[#This Row],[Competitor Name]] = "", "", Matching_Tb[[#This Row],[Competitor Name]])</f>
        <v/>
      </c>
      <c r="E79" s="26" t="str">
        <f aca="false">IF(Matching_Tb[[#This Row],[CMT  Set-up]] = "", "", Matching_Tb[[#This Row],[CMT  Set-up]])</f>
        <v/>
      </c>
      <c r="F79" s="27" t="str">
        <f aca="false">IF(Matching_Tb[[#This Row],[Start date]] = "", "", Matching_Tb[[#This Row],[Start date]])</f>
        <v/>
      </c>
      <c r="G79" s="27" t="str">
        <f aca="false">IF(Matching_Tb[[#This Row],[End date]] = "", "", Matching_Tb[[#This Row],[End date]])</f>
        <v/>
      </c>
      <c r="H79" s="51" t="str">
        <f aca="false">IF(Matching_Tb[[#This Row],[Competitor URL]] = "", "", Matching_Tb[[#This Row],[Competitor URL]])</f>
        <v/>
      </c>
      <c r="I79" s="26" t="str">
        <f aca="false">IF(Site_Content[[#This Row],[Competitor Name]] = "", "", IF(Matching_Tb[[#This Row],[Promo code]]="", "N/A", Matching_Tb[[#This Row],[Promo code]]))</f>
        <v/>
      </c>
      <c r="J79" s="26" t="str">
        <f aca="false">IF(Matching_Tb[[#This Row],[Offer Details]] = "", "", Matching_Tb[[#This Row],[Offer Details]])</f>
        <v/>
      </c>
      <c r="K79" s="51" t="str">
        <f aca="false">IF(Matching_Tb[[#This Row],[TT Link]]="", "", IF(Matching_Tb[[#This Row],[Can be matched ? ]] = "No", "", Matching_Tb[[#This Row],[TT Link]]))</f>
        <v/>
      </c>
      <c r="L79" s="26" t="str">
        <f aca="false">IF(Matching_Tb[[#This Row],[Can be matched ? ]] = "", "", Matching_Tb[[#This Row],[Can be matched ? ]])</f>
        <v/>
      </c>
      <c r="M79" s="41" t="str">
        <f aca="false">IF(Matching_Tb[[#This Row],[Rebate type]] = "", "", Matching_Tb[[#This Row],[Rebate type]])</f>
        <v/>
      </c>
      <c r="N79" s="26" t="str">
        <f aca="false">IF('Matching Sheet'!P79="", "", (IF(Site_Content[[#This Row],[Can be matched ? ]]="Yes", "Matched", Matching_Tb[[#This Row],[Comment]])))</f>
        <v/>
      </c>
    </row>
    <row r="80" customFormat="false" ht="14.25" hidden="false" customHeight="false" outlineLevel="0" collapsed="false">
      <c r="A80" s="26" t="str">
        <f aca="false">IF(Matching_Tb[[#This Row],[MKPL]] = "", "", Matching_Tb[[#This Row],[MKPL]])</f>
        <v/>
      </c>
      <c r="B80" s="26" t="str">
        <f aca="false">IF(Matching_Tb[[#This Row],[PL]] = "", "", Matching_Tb[[#This Row],[PL]])</f>
        <v/>
      </c>
      <c r="C80" s="26" t="str">
        <f aca="false">IF(Matching_Tb[[#This Row],[GL]] = "", "", Matching_Tb[[#This Row],[GL]])</f>
        <v/>
      </c>
      <c r="D80" s="50" t="str">
        <f aca="false">IF(Matching_Tb[[#This Row],[Competitor Name]] = "", "", Matching_Tb[[#This Row],[Competitor Name]])</f>
        <v/>
      </c>
      <c r="E80" s="26" t="str">
        <f aca="false">IF(Matching_Tb[[#This Row],[CMT  Set-up]] = "", "", Matching_Tb[[#This Row],[CMT  Set-up]])</f>
        <v/>
      </c>
      <c r="F80" s="27" t="str">
        <f aca="false">IF(Matching_Tb[[#This Row],[Start date]] = "", "", Matching_Tb[[#This Row],[Start date]])</f>
        <v/>
      </c>
      <c r="G80" s="27" t="str">
        <f aca="false">IF(Matching_Tb[[#This Row],[End date]] = "", "", Matching_Tb[[#This Row],[End date]])</f>
        <v/>
      </c>
      <c r="H80" s="51" t="str">
        <f aca="false">IF(Matching_Tb[[#This Row],[Competitor URL]] = "", "", Matching_Tb[[#This Row],[Competitor URL]])</f>
        <v/>
      </c>
      <c r="I80" s="26" t="str">
        <f aca="false">IF(Site_Content[[#This Row],[Competitor Name]] = "", "", IF(Matching_Tb[[#This Row],[Promo code]]="", "N/A", Matching_Tb[[#This Row],[Promo code]]))</f>
        <v/>
      </c>
      <c r="J80" s="26" t="str">
        <f aca="false">IF(Matching_Tb[[#This Row],[Offer Details]] = "", "", Matching_Tb[[#This Row],[Offer Details]])</f>
        <v/>
      </c>
      <c r="K80" s="51" t="str">
        <f aca="false">IF(Matching_Tb[[#This Row],[TT Link]]="", "", IF(Matching_Tb[[#This Row],[Can be matched ? ]] = "No", "", Matching_Tb[[#This Row],[TT Link]]))</f>
        <v/>
      </c>
      <c r="L80" s="26" t="str">
        <f aca="false">IF(Matching_Tb[[#This Row],[Can be matched ? ]] = "", "", Matching_Tb[[#This Row],[Can be matched ? ]])</f>
        <v/>
      </c>
      <c r="M80" s="41" t="str">
        <f aca="false">IF(Matching_Tb[[#This Row],[Rebate type]] = "", "", Matching_Tb[[#This Row],[Rebate type]])</f>
        <v/>
      </c>
      <c r="N80" s="26" t="str">
        <f aca="false">IF('Matching Sheet'!P80="", "", (IF(Site_Content[[#This Row],[Can be matched ? ]]="Yes", "Matched", Matching_Tb[[#This Row],[Comment]])))</f>
        <v/>
      </c>
    </row>
    <row r="81" customFormat="false" ht="14.25" hidden="false" customHeight="false" outlineLevel="0" collapsed="false">
      <c r="A81" s="26" t="str">
        <f aca="false">IF(Matching_Tb[[#This Row],[MKPL]] = "", "", Matching_Tb[[#This Row],[MKPL]])</f>
        <v/>
      </c>
      <c r="B81" s="26" t="str">
        <f aca="false">IF(Matching_Tb[[#This Row],[PL]] = "", "", Matching_Tb[[#This Row],[PL]])</f>
        <v/>
      </c>
      <c r="C81" s="26" t="str">
        <f aca="false">IF(Matching_Tb[[#This Row],[GL]] = "", "", Matching_Tb[[#This Row],[GL]])</f>
        <v/>
      </c>
      <c r="D81" s="50" t="str">
        <f aca="false">IF(Matching_Tb[[#This Row],[Competitor Name]] = "", "", Matching_Tb[[#This Row],[Competitor Name]])</f>
        <v/>
      </c>
      <c r="E81" s="26" t="str">
        <f aca="false">IF(Matching_Tb[[#This Row],[CMT  Set-up]] = "", "", Matching_Tb[[#This Row],[CMT  Set-up]])</f>
        <v/>
      </c>
      <c r="F81" s="27" t="str">
        <f aca="false">IF(Matching_Tb[[#This Row],[Start date]] = "", "", Matching_Tb[[#This Row],[Start date]])</f>
        <v/>
      </c>
      <c r="G81" s="27" t="str">
        <f aca="false">IF(Matching_Tb[[#This Row],[End date]] = "", "", Matching_Tb[[#This Row],[End date]])</f>
        <v/>
      </c>
      <c r="H81" s="51" t="str">
        <f aca="false">IF(Matching_Tb[[#This Row],[Competitor URL]] = "", "", Matching_Tb[[#This Row],[Competitor URL]])</f>
        <v/>
      </c>
      <c r="I81" s="26" t="str">
        <f aca="false">IF(Site_Content[[#This Row],[Competitor Name]] = "", "", IF(Matching_Tb[[#This Row],[Promo code]]="", "N/A", Matching_Tb[[#This Row],[Promo code]]))</f>
        <v/>
      </c>
      <c r="J81" s="26" t="str">
        <f aca="false">IF(Matching_Tb[[#This Row],[Offer Details]] = "", "", Matching_Tb[[#This Row],[Offer Details]])</f>
        <v/>
      </c>
      <c r="K81" s="51" t="str">
        <f aca="false">IF(Matching_Tb[[#This Row],[TT Link]]="", "", IF(Matching_Tb[[#This Row],[Can be matched ? ]] = "No", "", Matching_Tb[[#This Row],[TT Link]]))</f>
        <v/>
      </c>
      <c r="L81" s="26" t="str">
        <f aca="false">IF(Matching_Tb[[#This Row],[Can be matched ? ]] = "", "", Matching_Tb[[#This Row],[Can be matched ? ]])</f>
        <v/>
      </c>
      <c r="M81" s="41" t="str">
        <f aca="false">IF(Matching_Tb[[#This Row],[Rebate type]] = "", "", Matching_Tb[[#This Row],[Rebate type]])</f>
        <v/>
      </c>
      <c r="N81" s="26" t="str">
        <f aca="false">IF('Matching Sheet'!P81="", "", (IF(Site_Content[[#This Row],[Can be matched ? ]]="Yes", "Matched", Matching_Tb[[#This Row],[Comment]])))</f>
        <v/>
      </c>
    </row>
    <row r="82" customFormat="false" ht="14.25" hidden="false" customHeight="false" outlineLevel="0" collapsed="false">
      <c r="A82" s="26" t="str">
        <f aca="false">IF(Matching_Tb[[#This Row],[MKPL]] = "", "", Matching_Tb[[#This Row],[MKPL]])</f>
        <v/>
      </c>
      <c r="B82" s="26" t="str">
        <f aca="false">IF(Matching_Tb[[#This Row],[PL]] = "", "", Matching_Tb[[#This Row],[PL]])</f>
        <v/>
      </c>
      <c r="C82" s="26" t="str">
        <f aca="false">IF(Matching_Tb[[#This Row],[GL]] = "", "", Matching_Tb[[#This Row],[GL]])</f>
        <v/>
      </c>
      <c r="D82" s="50" t="str">
        <f aca="false">IF(Matching_Tb[[#This Row],[Competitor Name]] = "", "", Matching_Tb[[#This Row],[Competitor Name]])</f>
        <v/>
      </c>
      <c r="E82" s="26" t="str">
        <f aca="false">IF(Matching_Tb[[#This Row],[CMT  Set-up]] = "", "", Matching_Tb[[#This Row],[CMT  Set-up]])</f>
        <v/>
      </c>
      <c r="F82" s="27" t="str">
        <f aca="false">IF(Matching_Tb[[#This Row],[Start date]] = "", "", Matching_Tb[[#This Row],[Start date]])</f>
        <v/>
      </c>
      <c r="G82" s="27" t="str">
        <f aca="false">IF(Matching_Tb[[#This Row],[End date]] = "", "", Matching_Tb[[#This Row],[End date]])</f>
        <v/>
      </c>
      <c r="H82" s="51" t="str">
        <f aca="false">IF(Matching_Tb[[#This Row],[Competitor URL]] = "", "", Matching_Tb[[#This Row],[Competitor URL]])</f>
        <v/>
      </c>
      <c r="I82" s="26" t="str">
        <f aca="false">IF(Site_Content[[#This Row],[Competitor Name]] = "", "", IF(Matching_Tb[[#This Row],[Promo code]]="", "N/A", Matching_Tb[[#This Row],[Promo code]]))</f>
        <v/>
      </c>
      <c r="J82" s="26" t="str">
        <f aca="false">IF(Matching_Tb[[#This Row],[Offer Details]] = "", "", Matching_Tb[[#This Row],[Offer Details]])</f>
        <v/>
      </c>
      <c r="K82" s="51" t="str">
        <f aca="false">IF(Matching_Tb[[#This Row],[TT Link]]="", "", IF(Matching_Tb[[#This Row],[Can be matched ? ]] = "No", "", Matching_Tb[[#This Row],[TT Link]]))</f>
        <v/>
      </c>
      <c r="L82" s="26" t="str">
        <f aca="false">IF(Matching_Tb[[#This Row],[Can be matched ? ]] = "", "", Matching_Tb[[#This Row],[Can be matched ? ]])</f>
        <v/>
      </c>
      <c r="M82" s="41" t="str">
        <f aca="false">IF(Matching_Tb[[#This Row],[Rebate type]] = "", "", Matching_Tb[[#This Row],[Rebate type]])</f>
        <v/>
      </c>
      <c r="N82" s="26" t="str">
        <f aca="false">IF('Matching Sheet'!P82="", "", (IF(Site_Content[[#This Row],[Can be matched ? ]]="Yes", "Matched", Matching_Tb[[#This Row],[Comment]])))</f>
        <v/>
      </c>
    </row>
    <row r="83" customFormat="false" ht="14.25" hidden="false" customHeight="false" outlineLevel="0" collapsed="false">
      <c r="A83" s="26" t="str">
        <f aca="false">IF(Matching_Tb[[#This Row],[MKPL]] = "", "", Matching_Tb[[#This Row],[MKPL]])</f>
        <v/>
      </c>
      <c r="B83" s="26" t="str">
        <f aca="false">IF(Matching_Tb[[#This Row],[PL]] = "", "", Matching_Tb[[#This Row],[PL]])</f>
        <v/>
      </c>
      <c r="C83" s="26" t="str">
        <f aca="false">IF(Matching_Tb[[#This Row],[GL]] = "", "", Matching_Tb[[#This Row],[GL]])</f>
        <v/>
      </c>
      <c r="D83" s="50" t="str">
        <f aca="false">IF(Matching_Tb[[#This Row],[Competitor Name]] = "", "", Matching_Tb[[#This Row],[Competitor Name]])</f>
        <v/>
      </c>
      <c r="E83" s="26" t="str">
        <f aca="false">IF(Matching_Tb[[#This Row],[CMT  Set-up]] = "", "", Matching_Tb[[#This Row],[CMT  Set-up]])</f>
        <v/>
      </c>
      <c r="F83" s="27" t="str">
        <f aca="false">IF(Matching_Tb[[#This Row],[Start date]] = "", "", Matching_Tb[[#This Row],[Start date]])</f>
        <v/>
      </c>
      <c r="G83" s="27" t="str">
        <f aca="false">IF(Matching_Tb[[#This Row],[End date]] = "", "", Matching_Tb[[#This Row],[End date]])</f>
        <v/>
      </c>
      <c r="H83" s="51" t="str">
        <f aca="false">IF(Matching_Tb[[#This Row],[Competitor URL]] = "", "", Matching_Tb[[#This Row],[Competitor URL]])</f>
        <v/>
      </c>
      <c r="I83" s="26" t="str">
        <f aca="false">IF(Site_Content[[#This Row],[Competitor Name]] = "", "", IF(Matching_Tb[[#This Row],[Promo code]]="", "N/A", Matching_Tb[[#This Row],[Promo code]]))</f>
        <v/>
      </c>
      <c r="J83" s="26" t="str">
        <f aca="false">IF(Matching_Tb[[#This Row],[Offer Details]] = "", "", Matching_Tb[[#This Row],[Offer Details]])</f>
        <v/>
      </c>
      <c r="K83" s="51" t="str">
        <f aca="false">IF(Matching_Tb[[#This Row],[TT Link]]="", "", IF(Matching_Tb[[#This Row],[Can be matched ? ]] = "No", "", Matching_Tb[[#This Row],[TT Link]]))</f>
        <v/>
      </c>
      <c r="L83" s="26" t="str">
        <f aca="false">IF(Matching_Tb[[#This Row],[Can be matched ? ]] = "", "", Matching_Tb[[#This Row],[Can be matched ? ]])</f>
        <v/>
      </c>
      <c r="M83" s="41" t="str">
        <f aca="false">IF(Matching_Tb[[#This Row],[Rebate type]] = "", "", Matching_Tb[[#This Row],[Rebate type]])</f>
        <v/>
      </c>
      <c r="N83" s="26" t="str">
        <f aca="false">IF('Matching Sheet'!P83="", "", (IF(Site_Content[[#This Row],[Can be matched ? ]]="Yes", "Matched", Matching_Tb[[#This Row],[Comment]])))</f>
        <v/>
      </c>
    </row>
    <row r="84" customFormat="false" ht="14.25" hidden="false" customHeight="false" outlineLevel="0" collapsed="false">
      <c r="A84" s="26" t="str">
        <f aca="false">IF(Matching_Tb[[#This Row],[MKPL]] = "", "", Matching_Tb[[#This Row],[MKPL]])</f>
        <v/>
      </c>
      <c r="B84" s="26" t="str">
        <f aca="false">IF(Matching_Tb[[#This Row],[PL]] = "", "", Matching_Tb[[#This Row],[PL]])</f>
        <v/>
      </c>
      <c r="C84" s="26" t="str">
        <f aca="false">IF(Matching_Tb[[#This Row],[GL]] = "", "", Matching_Tb[[#This Row],[GL]])</f>
        <v/>
      </c>
      <c r="D84" s="50" t="str">
        <f aca="false">IF(Matching_Tb[[#This Row],[Competitor Name]] = "", "", Matching_Tb[[#This Row],[Competitor Name]])</f>
        <v/>
      </c>
      <c r="E84" s="26" t="str">
        <f aca="false">IF(Matching_Tb[[#This Row],[CMT  Set-up]] = "", "", Matching_Tb[[#This Row],[CMT  Set-up]])</f>
        <v/>
      </c>
      <c r="F84" s="27" t="str">
        <f aca="false">IF(Matching_Tb[[#This Row],[Start date]] = "", "", Matching_Tb[[#This Row],[Start date]])</f>
        <v/>
      </c>
      <c r="G84" s="27" t="str">
        <f aca="false">IF(Matching_Tb[[#This Row],[End date]] = "", "", Matching_Tb[[#This Row],[End date]])</f>
        <v/>
      </c>
      <c r="H84" s="51" t="str">
        <f aca="false">IF(Matching_Tb[[#This Row],[Competitor URL]] = "", "", Matching_Tb[[#This Row],[Competitor URL]])</f>
        <v/>
      </c>
      <c r="I84" s="26" t="str">
        <f aca="false">IF(Site_Content[[#This Row],[Competitor Name]] = "", "", IF(Matching_Tb[[#This Row],[Promo code]]="", "N/A", Matching_Tb[[#This Row],[Promo code]]))</f>
        <v/>
      </c>
      <c r="J84" s="26" t="str">
        <f aca="false">IF(Matching_Tb[[#This Row],[Offer Details]] = "", "", Matching_Tb[[#This Row],[Offer Details]])</f>
        <v/>
      </c>
      <c r="K84" s="51" t="str">
        <f aca="false">IF(Matching_Tb[[#This Row],[TT Link]]="", "", IF(Matching_Tb[[#This Row],[Can be matched ? ]] = "No", "", Matching_Tb[[#This Row],[TT Link]]))</f>
        <v/>
      </c>
      <c r="L84" s="26" t="str">
        <f aca="false">IF(Matching_Tb[[#This Row],[Can be matched ? ]] = "", "", Matching_Tb[[#This Row],[Can be matched ? ]])</f>
        <v/>
      </c>
      <c r="M84" s="41" t="str">
        <f aca="false">IF(Matching_Tb[[#This Row],[Rebate type]] = "", "", Matching_Tb[[#This Row],[Rebate type]])</f>
        <v/>
      </c>
      <c r="N84" s="26" t="str">
        <f aca="false">IF('Matching Sheet'!P84="", "", (IF(Site_Content[[#This Row],[Can be matched ? ]]="Yes", "Matched", Matching_Tb[[#This Row],[Comment]])))</f>
        <v/>
      </c>
    </row>
    <row r="85" customFormat="false" ht="14.25" hidden="false" customHeight="false" outlineLevel="0" collapsed="false">
      <c r="A85" s="26" t="str">
        <f aca="false">IF(Matching_Tb[[#This Row],[MKPL]] = "", "", Matching_Tb[[#This Row],[MKPL]])</f>
        <v/>
      </c>
      <c r="B85" s="26" t="str">
        <f aca="false">IF(Matching_Tb[[#This Row],[PL]] = "", "", Matching_Tb[[#This Row],[PL]])</f>
        <v/>
      </c>
      <c r="C85" s="26" t="str">
        <f aca="false">IF(Matching_Tb[[#This Row],[GL]] = "", "", Matching_Tb[[#This Row],[GL]])</f>
        <v/>
      </c>
      <c r="D85" s="50" t="str">
        <f aca="false">IF(Matching_Tb[[#This Row],[Competitor Name]] = "", "", Matching_Tb[[#This Row],[Competitor Name]])</f>
        <v/>
      </c>
      <c r="E85" s="26" t="str">
        <f aca="false">IF(Matching_Tb[[#This Row],[CMT  Set-up]] = "", "", Matching_Tb[[#This Row],[CMT  Set-up]])</f>
        <v/>
      </c>
      <c r="F85" s="27" t="str">
        <f aca="false">IF(Matching_Tb[[#This Row],[Start date]] = "", "", Matching_Tb[[#This Row],[Start date]])</f>
        <v/>
      </c>
      <c r="G85" s="27" t="str">
        <f aca="false">IF(Matching_Tb[[#This Row],[End date]] = "", "", Matching_Tb[[#This Row],[End date]])</f>
        <v/>
      </c>
      <c r="H85" s="51" t="str">
        <f aca="false">IF(Matching_Tb[[#This Row],[Competitor URL]] = "", "", Matching_Tb[[#This Row],[Competitor URL]])</f>
        <v/>
      </c>
      <c r="I85" s="26" t="str">
        <f aca="false">IF(Site_Content[[#This Row],[Competitor Name]] = "", "", IF(Matching_Tb[[#This Row],[Promo code]]="", "N/A", Matching_Tb[[#This Row],[Promo code]]))</f>
        <v/>
      </c>
      <c r="J85" s="26" t="str">
        <f aca="false">IF(Matching_Tb[[#This Row],[Offer Details]] = "", "", Matching_Tb[[#This Row],[Offer Details]])</f>
        <v/>
      </c>
      <c r="K85" s="51" t="str">
        <f aca="false">IF(Matching_Tb[[#This Row],[TT Link]]="", "", IF(Matching_Tb[[#This Row],[Can be matched ? ]] = "No", "", Matching_Tb[[#This Row],[TT Link]]))</f>
        <v/>
      </c>
      <c r="L85" s="26" t="str">
        <f aca="false">IF(Matching_Tb[[#This Row],[Can be matched ? ]] = "", "", Matching_Tb[[#This Row],[Can be matched ? ]])</f>
        <v/>
      </c>
      <c r="M85" s="41" t="str">
        <f aca="false">IF(Matching_Tb[[#This Row],[Rebate type]] = "", "", Matching_Tb[[#This Row],[Rebate type]])</f>
        <v/>
      </c>
      <c r="N85" s="26" t="str">
        <f aca="false">IF('Matching Sheet'!P85="", "", (IF(Site_Content[[#This Row],[Can be matched ? ]]="Yes", "Matched", Matching_Tb[[#This Row],[Comment]])))</f>
        <v/>
      </c>
    </row>
    <row r="86" customFormat="false" ht="14.25" hidden="false" customHeight="false" outlineLevel="0" collapsed="false">
      <c r="A86" s="26" t="str">
        <f aca="false">IF(Matching_Tb[[#This Row],[MKPL]] = "", "", Matching_Tb[[#This Row],[MKPL]])</f>
        <v/>
      </c>
      <c r="B86" s="26" t="str">
        <f aca="false">IF(Matching_Tb[[#This Row],[PL]] = "", "", Matching_Tb[[#This Row],[PL]])</f>
        <v/>
      </c>
      <c r="C86" s="26" t="str">
        <f aca="false">IF(Matching_Tb[[#This Row],[GL]] = "", "", Matching_Tb[[#This Row],[GL]])</f>
        <v/>
      </c>
      <c r="D86" s="50" t="str">
        <f aca="false">IF(Matching_Tb[[#This Row],[Competitor Name]] = "", "", Matching_Tb[[#This Row],[Competitor Name]])</f>
        <v/>
      </c>
      <c r="E86" s="26" t="str">
        <f aca="false">IF(Matching_Tb[[#This Row],[CMT  Set-up]] = "", "", Matching_Tb[[#This Row],[CMT  Set-up]])</f>
        <v/>
      </c>
      <c r="F86" s="27" t="str">
        <f aca="false">IF(Matching_Tb[[#This Row],[Start date]] = "", "", Matching_Tb[[#This Row],[Start date]])</f>
        <v/>
      </c>
      <c r="G86" s="27" t="str">
        <f aca="false">IF(Matching_Tb[[#This Row],[End date]] = "", "", Matching_Tb[[#This Row],[End date]])</f>
        <v/>
      </c>
      <c r="H86" s="51" t="str">
        <f aca="false">IF(Matching_Tb[[#This Row],[Competitor URL]] = "", "", Matching_Tb[[#This Row],[Competitor URL]])</f>
        <v/>
      </c>
      <c r="I86" s="26" t="str">
        <f aca="false">IF(Site_Content[[#This Row],[Competitor Name]] = "", "", IF(Matching_Tb[[#This Row],[Promo code]]="", "N/A", Matching_Tb[[#This Row],[Promo code]]))</f>
        <v/>
      </c>
      <c r="J86" s="26" t="str">
        <f aca="false">IF(Matching_Tb[[#This Row],[Offer Details]] = "", "", Matching_Tb[[#This Row],[Offer Details]])</f>
        <v/>
      </c>
      <c r="K86" s="51" t="str">
        <f aca="false">IF(Matching_Tb[[#This Row],[TT Link]]="", "", IF(Matching_Tb[[#This Row],[Can be matched ? ]] = "No", "", Matching_Tb[[#This Row],[TT Link]]))</f>
        <v/>
      </c>
      <c r="L86" s="26" t="str">
        <f aca="false">IF(Matching_Tb[[#This Row],[Can be matched ? ]] = "", "", Matching_Tb[[#This Row],[Can be matched ? ]])</f>
        <v/>
      </c>
      <c r="M86" s="41" t="str">
        <f aca="false">IF(Matching_Tb[[#This Row],[Rebate type]] = "", "", Matching_Tb[[#This Row],[Rebate type]])</f>
        <v/>
      </c>
      <c r="N86" s="26" t="str">
        <f aca="false">IF('Matching Sheet'!P86="", "", (IF(Site_Content[[#This Row],[Can be matched ? ]]="Yes", "Matched", Matching_Tb[[#This Row],[Comment]])))</f>
        <v/>
      </c>
    </row>
    <row r="87" customFormat="false" ht="14.25" hidden="false" customHeight="false" outlineLevel="0" collapsed="false">
      <c r="A87" s="26" t="str">
        <f aca="false">IF(Matching_Tb[[#This Row],[MKPL]] = "", "", Matching_Tb[[#This Row],[MKPL]])</f>
        <v/>
      </c>
      <c r="B87" s="26" t="str">
        <f aca="false">IF(Matching_Tb[[#This Row],[PL]] = "", "", Matching_Tb[[#This Row],[PL]])</f>
        <v/>
      </c>
      <c r="C87" s="26" t="str">
        <f aca="false">IF(Matching_Tb[[#This Row],[GL]] = "", "", Matching_Tb[[#This Row],[GL]])</f>
        <v/>
      </c>
      <c r="D87" s="50" t="str">
        <f aca="false">IF(Matching_Tb[[#This Row],[Competitor Name]] = "", "", Matching_Tb[[#This Row],[Competitor Name]])</f>
        <v/>
      </c>
      <c r="E87" s="26" t="str">
        <f aca="false">IF(Matching_Tb[[#This Row],[CMT  Set-up]] = "", "", Matching_Tb[[#This Row],[CMT  Set-up]])</f>
        <v/>
      </c>
      <c r="F87" s="27" t="str">
        <f aca="false">IF(Matching_Tb[[#This Row],[Start date]] = "", "", Matching_Tb[[#This Row],[Start date]])</f>
        <v/>
      </c>
      <c r="G87" s="27" t="str">
        <f aca="false">IF(Matching_Tb[[#This Row],[End date]] = "", "", Matching_Tb[[#This Row],[End date]])</f>
        <v/>
      </c>
      <c r="H87" s="51" t="str">
        <f aca="false">IF(Matching_Tb[[#This Row],[Competitor URL]] = "", "", Matching_Tb[[#This Row],[Competitor URL]])</f>
        <v/>
      </c>
      <c r="I87" s="26" t="str">
        <f aca="false">IF(Site_Content[[#This Row],[Competitor Name]] = "", "", IF(Matching_Tb[[#This Row],[Promo code]]="", "N/A", Matching_Tb[[#This Row],[Promo code]]))</f>
        <v/>
      </c>
      <c r="J87" s="26" t="str">
        <f aca="false">IF(Matching_Tb[[#This Row],[Offer Details]] = "", "", Matching_Tb[[#This Row],[Offer Details]])</f>
        <v/>
      </c>
      <c r="K87" s="51" t="str">
        <f aca="false">IF(Matching_Tb[[#This Row],[TT Link]]="", "", IF(Matching_Tb[[#This Row],[Can be matched ? ]] = "No", "", Matching_Tb[[#This Row],[TT Link]]))</f>
        <v/>
      </c>
      <c r="L87" s="26" t="str">
        <f aca="false">IF(Matching_Tb[[#This Row],[Can be matched ? ]] = "", "", Matching_Tb[[#This Row],[Can be matched ? ]])</f>
        <v/>
      </c>
      <c r="M87" s="41" t="str">
        <f aca="false">IF(Matching_Tb[[#This Row],[Rebate type]] = "", "", Matching_Tb[[#This Row],[Rebate type]])</f>
        <v/>
      </c>
      <c r="N87" s="26" t="str">
        <f aca="false">IF('Matching Sheet'!P87="", "", (IF(Site_Content[[#This Row],[Can be matched ? ]]="Yes", "Matched", Matching_Tb[[#This Row],[Comment]])))</f>
        <v/>
      </c>
    </row>
    <row r="88" customFormat="false" ht="14.25" hidden="false" customHeight="false" outlineLevel="0" collapsed="false">
      <c r="A88" s="26" t="str">
        <f aca="false">IF(Matching_Tb[[#This Row],[MKPL]] = "", "", Matching_Tb[[#This Row],[MKPL]])</f>
        <v/>
      </c>
      <c r="B88" s="26" t="str">
        <f aca="false">IF(Matching_Tb[[#This Row],[PL]] = "", "", Matching_Tb[[#This Row],[PL]])</f>
        <v/>
      </c>
      <c r="C88" s="26" t="str">
        <f aca="false">IF(Matching_Tb[[#This Row],[GL]] = "", "", Matching_Tb[[#This Row],[GL]])</f>
        <v/>
      </c>
      <c r="D88" s="50" t="str">
        <f aca="false">IF(Matching_Tb[[#This Row],[Competitor Name]] = "", "", Matching_Tb[[#This Row],[Competitor Name]])</f>
        <v/>
      </c>
      <c r="E88" s="26" t="str">
        <f aca="false">IF(Matching_Tb[[#This Row],[CMT  Set-up]] = "", "", Matching_Tb[[#This Row],[CMT  Set-up]])</f>
        <v/>
      </c>
      <c r="F88" s="27" t="str">
        <f aca="false">IF(Matching_Tb[[#This Row],[Start date]] = "", "", Matching_Tb[[#This Row],[Start date]])</f>
        <v/>
      </c>
      <c r="G88" s="27" t="str">
        <f aca="false">IF(Matching_Tb[[#This Row],[End date]] = "", "", Matching_Tb[[#This Row],[End date]])</f>
        <v/>
      </c>
      <c r="H88" s="51" t="str">
        <f aca="false">IF(Matching_Tb[[#This Row],[Competitor URL]] = "", "", Matching_Tb[[#This Row],[Competitor URL]])</f>
        <v/>
      </c>
      <c r="I88" s="26" t="str">
        <f aca="false">IF(Site_Content[[#This Row],[Competitor Name]] = "", "", IF(Matching_Tb[[#This Row],[Promo code]]="", "N/A", Matching_Tb[[#This Row],[Promo code]]))</f>
        <v/>
      </c>
      <c r="J88" s="26" t="str">
        <f aca="false">IF(Matching_Tb[[#This Row],[Offer Details]] = "", "", Matching_Tb[[#This Row],[Offer Details]])</f>
        <v/>
      </c>
      <c r="K88" s="51" t="str">
        <f aca="false">IF(Matching_Tb[[#This Row],[TT Link]]="", "", IF(Matching_Tb[[#This Row],[Can be matched ? ]] = "No", "", Matching_Tb[[#This Row],[TT Link]]))</f>
        <v/>
      </c>
      <c r="L88" s="26" t="str">
        <f aca="false">IF(Matching_Tb[[#This Row],[Can be matched ? ]] = "", "", Matching_Tb[[#This Row],[Can be matched ? ]])</f>
        <v/>
      </c>
      <c r="M88" s="41" t="str">
        <f aca="false">IF(Matching_Tb[[#This Row],[Rebate type]] = "", "", Matching_Tb[[#This Row],[Rebate type]])</f>
        <v/>
      </c>
      <c r="N88" s="26" t="str">
        <f aca="false">IF('Matching Sheet'!P88="", "", (IF(Site_Content[[#This Row],[Can be matched ? ]]="Yes", "Matched", Matching_Tb[[#This Row],[Comment]])))</f>
        <v/>
      </c>
    </row>
    <row r="89" customFormat="false" ht="14.25" hidden="false" customHeight="false" outlineLevel="0" collapsed="false">
      <c r="A89" s="26" t="str">
        <f aca="false">IF(Matching_Tb[[#This Row],[MKPL]] = "", "", Matching_Tb[[#This Row],[MKPL]])</f>
        <v/>
      </c>
      <c r="B89" s="26" t="str">
        <f aca="false">IF(Matching_Tb[[#This Row],[PL]] = "", "", Matching_Tb[[#This Row],[PL]])</f>
        <v/>
      </c>
      <c r="C89" s="26" t="str">
        <f aca="false">IF(Matching_Tb[[#This Row],[GL]] = "", "", Matching_Tb[[#This Row],[GL]])</f>
        <v/>
      </c>
      <c r="D89" s="50" t="str">
        <f aca="false">IF(Matching_Tb[[#This Row],[Competitor Name]] = "", "", Matching_Tb[[#This Row],[Competitor Name]])</f>
        <v/>
      </c>
      <c r="E89" s="26" t="str">
        <f aca="false">IF(Matching_Tb[[#This Row],[CMT  Set-up]] = "", "", Matching_Tb[[#This Row],[CMT  Set-up]])</f>
        <v/>
      </c>
      <c r="F89" s="27" t="str">
        <f aca="false">IF(Matching_Tb[[#This Row],[Start date]] = "", "", Matching_Tb[[#This Row],[Start date]])</f>
        <v/>
      </c>
      <c r="G89" s="27" t="str">
        <f aca="false">IF(Matching_Tb[[#This Row],[End date]] = "", "", Matching_Tb[[#This Row],[End date]])</f>
        <v/>
      </c>
      <c r="H89" s="51" t="str">
        <f aca="false">IF(Matching_Tb[[#This Row],[Competitor URL]] = "", "", Matching_Tb[[#This Row],[Competitor URL]])</f>
        <v/>
      </c>
      <c r="I89" s="26" t="str">
        <f aca="false">IF(Site_Content[[#This Row],[Competitor Name]] = "", "", IF(Matching_Tb[[#This Row],[Promo code]]="", "N/A", Matching_Tb[[#This Row],[Promo code]]))</f>
        <v/>
      </c>
      <c r="J89" s="26" t="str">
        <f aca="false">IF(Matching_Tb[[#This Row],[Offer Details]] = "", "", Matching_Tb[[#This Row],[Offer Details]])</f>
        <v/>
      </c>
      <c r="K89" s="51" t="str">
        <f aca="false">IF(Matching_Tb[[#This Row],[TT Link]]="", "", IF(Matching_Tb[[#This Row],[Can be matched ? ]] = "No", "", Matching_Tb[[#This Row],[TT Link]]))</f>
        <v/>
      </c>
      <c r="L89" s="26" t="str">
        <f aca="false">IF(Matching_Tb[[#This Row],[Can be matched ? ]] = "", "", Matching_Tb[[#This Row],[Can be matched ? ]])</f>
        <v/>
      </c>
      <c r="M89" s="41" t="str">
        <f aca="false">IF(Matching_Tb[[#This Row],[Rebate type]] = "", "", Matching_Tb[[#This Row],[Rebate type]])</f>
        <v/>
      </c>
      <c r="N89" s="26" t="str">
        <f aca="false">IF('Matching Sheet'!P89="", "", (IF(Site_Content[[#This Row],[Can be matched ? ]]="Yes", "Matched", Matching_Tb[[#This Row],[Comment]])))</f>
        <v/>
      </c>
    </row>
    <row r="90" customFormat="false" ht="14.25" hidden="false" customHeight="false" outlineLevel="0" collapsed="false">
      <c r="A90" s="26" t="str">
        <f aca="false">IF(Matching_Tb[[#This Row],[MKPL]] = "", "", Matching_Tb[[#This Row],[MKPL]])</f>
        <v/>
      </c>
      <c r="B90" s="26" t="str">
        <f aca="false">IF(Matching_Tb[[#This Row],[PL]] = "", "", Matching_Tb[[#This Row],[PL]])</f>
        <v/>
      </c>
      <c r="C90" s="26" t="str">
        <f aca="false">IF(Matching_Tb[[#This Row],[GL]] = "", "", Matching_Tb[[#This Row],[GL]])</f>
        <v/>
      </c>
      <c r="D90" s="50" t="str">
        <f aca="false">IF(Matching_Tb[[#This Row],[Competitor Name]] = "", "", Matching_Tb[[#This Row],[Competitor Name]])</f>
        <v/>
      </c>
      <c r="E90" s="26" t="str">
        <f aca="false">IF(Matching_Tb[[#This Row],[CMT  Set-up]] = "", "", Matching_Tb[[#This Row],[CMT  Set-up]])</f>
        <v/>
      </c>
      <c r="F90" s="27" t="str">
        <f aca="false">IF(Matching_Tb[[#This Row],[Start date]] = "", "", Matching_Tb[[#This Row],[Start date]])</f>
        <v/>
      </c>
      <c r="G90" s="27" t="str">
        <f aca="false">IF(Matching_Tb[[#This Row],[End date]] = "", "", Matching_Tb[[#This Row],[End date]])</f>
        <v/>
      </c>
      <c r="H90" s="51" t="str">
        <f aca="false">IF(Matching_Tb[[#This Row],[Competitor URL]] = "", "", Matching_Tb[[#This Row],[Competitor URL]])</f>
        <v/>
      </c>
      <c r="I90" s="26" t="str">
        <f aca="false">IF(Site_Content[[#This Row],[Competitor Name]] = "", "", IF(Matching_Tb[[#This Row],[Promo code]]="", "N/A", Matching_Tb[[#This Row],[Promo code]]))</f>
        <v/>
      </c>
      <c r="J90" s="26" t="str">
        <f aca="false">IF(Matching_Tb[[#This Row],[Offer Details]] = "", "", Matching_Tb[[#This Row],[Offer Details]])</f>
        <v/>
      </c>
      <c r="K90" s="51" t="str">
        <f aca="false">IF(Matching_Tb[[#This Row],[TT Link]]="", "", IF(Matching_Tb[[#This Row],[Can be matched ? ]] = "No", "", Matching_Tb[[#This Row],[TT Link]]))</f>
        <v/>
      </c>
      <c r="L90" s="26" t="str">
        <f aca="false">IF(Matching_Tb[[#This Row],[Can be matched ? ]] = "", "", Matching_Tb[[#This Row],[Can be matched ? ]])</f>
        <v/>
      </c>
      <c r="M90" s="41" t="str">
        <f aca="false">IF(Matching_Tb[[#This Row],[Rebate type]] = "", "", Matching_Tb[[#This Row],[Rebate type]])</f>
        <v/>
      </c>
      <c r="N90" s="26" t="str">
        <f aca="false">IF('Matching Sheet'!P90="", "", (IF(Site_Content[[#This Row],[Can be matched ? ]]="Yes", "Matched", Matching_Tb[[#This Row],[Comment]])))</f>
        <v/>
      </c>
    </row>
    <row r="91" customFormat="false" ht="14.25" hidden="false" customHeight="false" outlineLevel="0" collapsed="false">
      <c r="A91" s="26" t="str">
        <f aca="false">IF(Matching_Tb[[#This Row],[MKPL]] = "", "", Matching_Tb[[#This Row],[MKPL]])</f>
        <v/>
      </c>
      <c r="B91" s="26" t="str">
        <f aca="false">IF(Matching_Tb[[#This Row],[PL]] = "", "", Matching_Tb[[#This Row],[PL]])</f>
        <v/>
      </c>
      <c r="C91" s="26" t="str">
        <f aca="false">IF(Matching_Tb[[#This Row],[GL]] = "", "", Matching_Tb[[#This Row],[GL]])</f>
        <v/>
      </c>
      <c r="D91" s="50" t="str">
        <f aca="false">IF(Matching_Tb[[#This Row],[Competitor Name]] = "", "", Matching_Tb[[#This Row],[Competitor Name]])</f>
        <v/>
      </c>
      <c r="E91" s="26" t="str">
        <f aca="false">IF(Matching_Tb[[#This Row],[CMT  Set-up]] = "", "", Matching_Tb[[#This Row],[CMT  Set-up]])</f>
        <v/>
      </c>
      <c r="F91" s="27" t="str">
        <f aca="false">IF(Matching_Tb[[#This Row],[Start date]] = "", "", Matching_Tb[[#This Row],[Start date]])</f>
        <v/>
      </c>
      <c r="G91" s="27" t="str">
        <f aca="false">IF(Matching_Tb[[#This Row],[End date]] = "", "", Matching_Tb[[#This Row],[End date]])</f>
        <v/>
      </c>
      <c r="H91" s="51" t="str">
        <f aca="false">IF(Matching_Tb[[#This Row],[Competitor URL]] = "", "", Matching_Tb[[#This Row],[Competitor URL]])</f>
        <v/>
      </c>
      <c r="I91" s="26" t="str">
        <f aca="false">IF(Site_Content[[#This Row],[Competitor Name]] = "", "", IF(Matching_Tb[[#This Row],[Promo code]]="", "N/A", Matching_Tb[[#This Row],[Promo code]]))</f>
        <v/>
      </c>
      <c r="J91" s="26" t="str">
        <f aca="false">IF(Matching_Tb[[#This Row],[Offer Details]] = "", "", Matching_Tb[[#This Row],[Offer Details]])</f>
        <v/>
      </c>
      <c r="K91" s="51" t="str">
        <f aca="false">IF(Matching_Tb[[#This Row],[TT Link]]="", "", IF(Matching_Tb[[#This Row],[Can be matched ? ]] = "No", "", Matching_Tb[[#This Row],[TT Link]]))</f>
        <v/>
      </c>
      <c r="L91" s="26" t="str">
        <f aca="false">IF(Matching_Tb[[#This Row],[Can be matched ? ]] = "", "", Matching_Tb[[#This Row],[Can be matched ? ]])</f>
        <v/>
      </c>
      <c r="M91" s="41" t="str">
        <f aca="false">IF(Matching_Tb[[#This Row],[Rebate type]] = "", "", Matching_Tb[[#This Row],[Rebate type]])</f>
        <v/>
      </c>
      <c r="N91" s="26" t="str">
        <f aca="false">IF('Matching Sheet'!P91="", "", (IF(Site_Content[[#This Row],[Can be matched ? ]]="Yes", "Matched", Matching_Tb[[#This Row],[Comment]])))</f>
        <v/>
      </c>
    </row>
    <row r="92" customFormat="false" ht="14.25" hidden="false" customHeight="false" outlineLevel="0" collapsed="false">
      <c r="A92" s="26" t="str">
        <f aca="false">IF(Matching_Tb[[#This Row],[MKPL]] = "", "", Matching_Tb[[#This Row],[MKPL]])</f>
        <v/>
      </c>
      <c r="B92" s="26" t="str">
        <f aca="false">IF(Matching_Tb[[#This Row],[PL]] = "", "", Matching_Tb[[#This Row],[PL]])</f>
        <v/>
      </c>
      <c r="C92" s="26" t="str">
        <f aca="false">IF(Matching_Tb[[#This Row],[GL]] = "", "", Matching_Tb[[#This Row],[GL]])</f>
        <v/>
      </c>
      <c r="D92" s="50" t="str">
        <f aca="false">IF(Matching_Tb[[#This Row],[Competitor Name]] = "", "", Matching_Tb[[#This Row],[Competitor Name]])</f>
        <v/>
      </c>
      <c r="E92" s="26" t="str">
        <f aca="false">IF(Matching_Tb[[#This Row],[CMT  Set-up]] = "", "", Matching_Tb[[#This Row],[CMT  Set-up]])</f>
        <v/>
      </c>
      <c r="F92" s="27" t="str">
        <f aca="false">IF(Matching_Tb[[#This Row],[Start date]] = "", "", Matching_Tb[[#This Row],[Start date]])</f>
        <v/>
      </c>
      <c r="G92" s="27" t="str">
        <f aca="false">IF(Matching_Tb[[#This Row],[End date]] = "", "", Matching_Tb[[#This Row],[End date]])</f>
        <v/>
      </c>
      <c r="H92" s="51" t="str">
        <f aca="false">IF(Matching_Tb[[#This Row],[Competitor URL]] = "", "", Matching_Tb[[#This Row],[Competitor URL]])</f>
        <v/>
      </c>
      <c r="I92" s="26" t="str">
        <f aca="false">IF(Site_Content[[#This Row],[Competitor Name]] = "", "", IF(Matching_Tb[[#This Row],[Promo code]]="", "N/A", Matching_Tb[[#This Row],[Promo code]]))</f>
        <v/>
      </c>
      <c r="J92" s="26" t="str">
        <f aca="false">IF(Matching_Tb[[#This Row],[Offer Details]] = "", "", Matching_Tb[[#This Row],[Offer Details]])</f>
        <v/>
      </c>
      <c r="K92" s="51" t="str">
        <f aca="false">IF(Matching_Tb[[#This Row],[TT Link]]="", "", IF(Matching_Tb[[#This Row],[Can be matched ? ]] = "No", "", Matching_Tb[[#This Row],[TT Link]]))</f>
        <v/>
      </c>
      <c r="L92" s="26" t="str">
        <f aca="false">IF(Matching_Tb[[#This Row],[Can be matched ? ]] = "", "", Matching_Tb[[#This Row],[Can be matched ? ]])</f>
        <v/>
      </c>
      <c r="M92" s="41" t="str">
        <f aca="false">IF(Matching_Tb[[#This Row],[Rebate type]] = "", "", Matching_Tb[[#This Row],[Rebate type]])</f>
        <v/>
      </c>
      <c r="N92" s="26" t="str">
        <f aca="false">IF('Matching Sheet'!P92="", "", (IF(Site_Content[[#This Row],[Can be matched ? ]]="Yes", "Matched", Matching_Tb[[#This Row],[Comment]])))</f>
        <v/>
      </c>
    </row>
    <row r="93" customFormat="false" ht="14.25" hidden="false" customHeight="false" outlineLevel="0" collapsed="false">
      <c r="A93" s="26" t="str">
        <f aca="false">IF(Matching_Tb[[#This Row],[MKPL]] = "", "", Matching_Tb[[#This Row],[MKPL]])</f>
        <v/>
      </c>
      <c r="B93" s="26" t="str">
        <f aca="false">IF(Matching_Tb[[#This Row],[PL]] = "", "", Matching_Tb[[#This Row],[PL]])</f>
        <v/>
      </c>
      <c r="C93" s="26" t="str">
        <f aca="false">IF(Matching_Tb[[#This Row],[GL]] = "", "", Matching_Tb[[#This Row],[GL]])</f>
        <v/>
      </c>
      <c r="D93" s="50" t="str">
        <f aca="false">IF(Matching_Tb[[#This Row],[Competitor Name]] = "", "", Matching_Tb[[#This Row],[Competitor Name]])</f>
        <v/>
      </c>
      <c r="E93" s="26" t="str">
        <f aca="false">IF(Matching_Tb[[#This Row],[CMT  Set-up]] = "", "", Matching_Tb[[#This Row],[CMT  Set-up]])</f>
        <v/>
      </c>
      <c r="F93" s="27" t="str">
        <f aca="false">IF(Matching_Tb[[#This Row],[Start date]] = "", "", Matching_Tb[[#This Row],[Start date]])</f>
        <v/>
      </c>
      <c r="G93" s="27" t="str">
        <f aca="false">IF(Matching_Tb[[#This Row],[End date]] = "", "", Matching_Tb[[#This Row],[End date]])</f>
        <v/>
      </c>
      <c r="H93" s="51" t="str">
        <f aca="false">IF(Matching_Tb[[#This Row],[Competitor URL]] = "", "", Matching_Tb[[#This Row],[Competitor URL]])</f>
        <v/>
      </c>
      <c r="I93" s="26" t="str">
        <f aca="false">IF(Site_Content[[#This Row],[Competitor Name]] = "", "", IF(Matching_Tb[[#This Row],[Promo code]]="", "N/A", Matching_Tb[[#This Row],[Promo code]]))</f>
        <v/>
      </c>
      <c r="J93" s="26" t="str">
        <f aca="false">IF(Matching_Tb[[#This Row],[Offer Details]] = "", "", Matching_Tb[[#This Row],[Offer Details]])</f>
        <v/>
      </c>
      <c r="K93" s="51" t="str">
        <f aca="false">IF(Matching_Tb[[#This Row],[TT Link]]="", "", IF(Matching_Tb[[#This Row],[Can be matched ? ]] = "No", "", Matching_Tb[[#This Row],[TT Link]]))</f>
        <v/>
      </c>
      <c r="L93" s="26" t="str">
        <f aca="false">IF(Matching_Tb[[#This Row],[Can be matched ? ]] = "", "", Matching_Tb[[#This Row],[Can be matched ? ]])</f>
        <v/>
      </c>
      <c r="M93" s="41" t="str">
        <f aca="false">IF(Matching_Tb[[#This Row],[Rebate type]] = "", "", Matching_Tb[[#This Row],[Rebate type]])</f>
        <v/>
      </c>
      <c r="N93" s="26" t="str">
        <f aca="false">IF('Matching Sheet'!P93="", "", (IF(Site_Content[[#This Row],[Can be matched ? ]]="Yes", "Matched", Matching_Tb[[#This Row],[Comment]])))</f>
        <v/>
      </c>
    </row>
    <row r="94" customFormat="false" ht="14.25" hidden="false" customHeight="false" outlineLevel="0" collapsed="false">
      <c r="A94" s="26" t="str">
        <f aca="false">IF(Matching_Tb[[#This Row],[MKPL]] = "", "", Matching_Tb[[#This Row],[MKPL]])</f>
        <v/>
      </c>
      <c r="B94" s="26" t="str">
        <f aca="false">IF(Matching_Tb[[#This Row],[PL]] = "", "", Matching_Tb[[#This Row],[PL]])</f>
        <v/>
      </c>
      <c r="C94" s="26" t="str">
        <f aca="false">IF(Matching_Tb[[#This Row],[GL]] = "", "", Matching_Tb[[#This Row],[GL]])</f>
        <v/>
      </c>
      <c r="D94" s="50" t="str">
        <f aca="false">IF(Matching_Tb[[#This Row],[Competitor Name]] = "", "", Matching_Tb[[#This Row],[Competitor Name]])</f>
        <v/>
      </c>
      <c r="E94" s="26" t="str">
        <f aca="false">IF(Matching_Tb[[#This Row],[CMT  Set-up]] = "", "", Matching_Tb[[#This Row],[CMT  Set-up]])</f>
        <v/>
      </c>
      <c r="F94" s="27" t="str">
        <f aca="false">IF(Matching_Tb[[#This Row],[Start date]] = "", "", Matching_Tb[[#This Row],[Start date]])</f>
        <v/>
      </c>
      <c r="G94" s="27" t="str">
        <f aca="false">IF(Matching_Tb[[#This Row],[End date]] = "", "", Matching_Tb[[#This Row],[End date]])</f>
        <v/>
      </c>
      <c r="H94" s="51" t="str">
        <f aca="false">IF(Matching_Tb[[#This Row],[Competitor URL]] = "", "", Matching_Tb[[#This Row],[Competitor URL]])</f>
        <v/>
      </c>
      <c r="I94" s="26" t="str">
        <f aca="false">IF(Site_Content[[#This Row],[Competitor Name]] = "", "", IF(Matching_Tb[[#This Row],[Promo code]]="", "N/A", Matching_Tb[[#This Row],[Promo code]]))</f>
        <v/>
      </c>
      <c r="J94" s="26" t="str">
        <f aca="false">IF(Matching_Tb[[#This Row],[Offer Details]] = "", "", Matching_Tb[[#This Row],[Offer Details]])</f>
        <v/>
      </c>
      <c r="K94" s="51" t="str">
        <f aca="false">IF(Matching_Tb[[#This Row],[TT Link]]="", "", IF(Matching_Tb[[#This Row],[Can be matched ? ]] = "No", "", Matching_Tb[[#This Row],[TT Link]]))</f>
        <v/>
      </c>
      <c r="L94" s="26" t="str">
        <f aca="false">IF(Matching_Tb[[#This Row],[Can be matched ? ]] = "", "", Matching_Tb[[#This Row],[Can be matched ? ]])</f>
        <v/>
      </c>
      <c r="M94" s="41" t="str">
        <f aca="false">IF(Matching_Tb[[#This Row],[Rebate type]] = "", "", Matching_Tb[[#This Row],[Rebate type]])</f>
        <v/>
      </c>
      <c r="N94" s="26" t="str">
        <f aca="false">IF('Matching Sheet'!P94="", "", (IF(Site_Content[[#This Row],[Can be matched ? ]]="Yes", "Matched", Matching_Tb[[#This Row],[Comment]])))</f>
        <v/>
      </c>
    </row>
    <row r="95" customFormat="false" ht="14.25" hidden="false" customHeight="false" outlineLevel="0" collapsed="false">
      <c r="A95" s="26" t="str">
        <f aca="false">IF(Matching_Tb[[#This Row],[MKPL]] = "", "", Matching_Tb[[#This Row],[MKPL]])</f>
        <v/>
      </c>
      <c r="B95" s="26" t="str">
        <f aca="false">IF(Matching_Tb[[#This Row],[PL]] = "", "", Matching_Tb[[#This Row],[PL]])</f>
        <v/>
      </c>
      <c r="C95" s="26" t="str">
        <f aca="false">IF(Matching_Tb[[#This Row],[GL]] = "", "", Matching_Tb[[#This Row],[GL]])</f>
        <v/>
      </c>
      <c r="D95" s="50" t="str">
        <f aca="false">IF(Matching_Tb[[#This Row],[Competitor Name]] = "", "", Matching_Tb[[#This Row],[Competitor Name]])</f>
        <v/>
      </c>
      <c r="E95" s="26" t="str">
        <f aca="false">IF(Matching_Tb[[#This Row],[CMT  Set-up]] = "", "", Matching_Tb[[#This Row],[CMT  Set-up]])</f>
        <v/>
      </c>
      <c r="F95" s="27" t="str">
        <f aca="false">IF(Matching_Tb[[#This Row],[Start date]] = "", "", Matching_Tb[[#This Row],[Start date]])</f>
        <v/>
      </c>
      <c r="G95" s="27" t="str">
        <f aca="false">IF(Matching_Tb[[#This Row],[End date]] = "", "", Matching_Tb[[#This Row],[End date]])</f>
        <v/>
      </c>
      <c r="H95" s="51" t="str">
        <f aca="false">IF(Matching_Tb[[#This Row],[Competitor URL]] = "", "", Matching_Tb[[#This Row],[Competitor URL]])</f>
        <v/>
      </c>
      <c r="I95" s="26" t="str">
        <f aca="false">IF(Site_Content[[#This Row],[Competitor Name]] = "", "", IF(Matching_Tb[[#This Row],[Promo code]]="", "N/A", Matching_Tb[[#This Row],[Promo code]]))</f>
        <v/>
      </c>
      <c r="J95" s="26" t="str">
        <f aca="false">IF(Matching_Tb[[#This Row],[Offer Details]] = "", "", Matching_Tb[[#This Row],[Offer Details]])</f>
        <v/>
      </c>
      <c r="K95" s="51" t="str">
        <f aca="false">IF(Matching_Tb[[#This Row],[TT Link]]="", "", IF(Matching_Tb[[#This Row],[Can be matched ? ]] = "No", "", Matching_Tb[[#This Row],[TT Link]]))</f>
        <v/>
      </c>
      <c r="L95" s="26" t="str">
        <f aca="false">IF(Matching_Tb[[#This Row],[Can be matched ? ]] = "", "", Matching_Tb[[#This Row],[Can be matched ? ]])</f>
        <v/>
      </c>
      <c r="M95" s="41" t="str">
        <f aca="false">IF(Matching_Tb[[#This Row],[Rebate type]] = "", "", Matching_Tb[[#This Row],[Rebate type]])</f>
        <v/>
      </c>
      <c r="N95" s="26" t="str">
        <f aca="false">IF('Matching Sheet'!P95="", "", (IF(Site_Content[[#This Row],[Can be matched ? ]]="Yes", "Matched", Matching_Tb[[#This Row],[Comment]])))</f>
        <v/>
      </c>
    </row>
    <row r="96" customFormat="false" ht="14.25" hidden="false" customHeight="false" outlineLevel="0" collapsed="false">
      <c r="A96" s="26" t="str">
        <f aca="false">IF(Matching_Tb[[#This Row],[MKPL]] = "", "", Matching_Tb[[#This Row],[MKPL]])</f>
        <v/>
      </c>
      <c r="B96" s="26" t="str">
        <f aca="false">IF(Matching_Tb[[#This Row],[PL]] = "", "", Matching_Tb[[#This Row],[PL]])</f>
        <v/>
      </c>
      <c r="C96" s="26" t="str">
        <f aca="false">IF(Matching_Tb[[#This Row],[GL]] = "", "", Matching_Tb[[#This Row],[GL]])</f>
        <v/>
      </c>
      <c r="D96" s="50" t="str">
        <f aca="false">IF(Matching_Tb[[#This Row],[Competitor Name]] = "", "", Matching_Tb[[#This Row],[Competitor Name]])</f>
        <v/>
      </c>
      <c r="E96" s="26" t="str">
        <f aca="false">IF(Matching_Tb[[#This Row],[CMT  Set-up]] = "", "", Matching_Tb[[#This Row],[CMT  Set-up]])</f>
        <v/>
      </c>
      <c r="F96" s="27" t="str">
        <f aca="false">IF(Matching_Tb[[#This Row],[Start date]] = "", "", Matching_Tb[[#This Row],[Start date]])</f>
        <v/>
      </c>
      <c r="G96" s="27" t="str">
        <f aca="false">IF(Matching_Tb[[#This Row],[End date]] = "", "", Matching_Tb[[#This Row],[End date]])</f>
        <v/>
      </c>
      <c r="H96" s="51" t="str">
        <f aca="false">IF(Matching_Tb[[#This Row],[Competitor URL]] = "", "", Matching_Tb[[#This Row],[Competitor URL]])</f>
        <v/>
      </c>
      <c r="I96" s="26" t="str">
        <f aca="false">IF(Site_Content[[#This Row],[Competitor Name]] = "", "", IF(Matching_Tb[[#This Row],[Promo code]]="", "N/A", Matching_Tb[[#This Row],[Promo code]]))</f>
        <v/>
      </c>
      <c r="J96" s="26" t="str">
        <f aca="false">IF(Matching_Tb[[#This Row],[Offer Details]] = "", "", Matching_Tb[[#This Row],[Offer Details]])</f>
        <v/>
      </c>
      <c r="K96" s="51" t="str">
        <f aca="false">IF(Matching_Tb[[#This Row],[TT Link]]="", "", IF(Matching_Tb[[#This Row],[Can be matched ? ]] = "No", "", Matching_Tb[[#This Row],[TT Link]]))</f>
        <v/>
      </c>
      <c r="L96" s="26" t="str">
        <f aca="false">IF(Matching_Tb[[#This Row],[Can be matched ? ]] = "", "", Matching_Tb[[#This Row],[Can be matched ? ]])</f>
        <v/>
      </c>
      <c r="M96" s="41" t="str">
        <f aca="false">IF(Matching_Tb[[#This Row],[Rebate type]] = "", "", Matching_Tb[[#This Row],[Rebate type]])</f>
        <v/>
      </c>
      <c r="N96" s="26" t="str">
        <f aca="false">IF('Matching Sheet'!P96="", "", (IF(Site_Content[[#This Row],[Can be matched ? ]]="Yes", "Matched", Matching_Tb[[#This Row],[Comment]])))</f>
        <v/>
      </c>
    </row>
    <row r="97" customFormat="false" ht="14.25" hidden="false" customHeight="false" outlineLevel="0" collapsed="false">
      <c r="A97" s="26" t="str">
        <f aca="false">IF(Matching_Tb[[#This Row],[MKPL]] = "", "", Matching_Tb[[#This Row],[MKPL]])</f>
        <v/>
      </c>
      <c r="B97" s="26" t="str">
        <f aca="false">IF(Matching_Tb[[#This Row],[PL]] = "", "", Matching_Tb[[#This Row],[PL]])</f>
        <v/>
      </c>
      <c r="C97" s="26" t="str">
        <f aca="false">IF(Matching_Tb[[#This Row],[GL]] = "", "", Matching_Tb[[#This Row],[GL]])</f>
        <v/>
      </c>
      <c r="D97" s="50" t="str">
        <f aca="false">IF(Matching_Tb[[#This Row],[Competitor Name]] = "", "", Matching_Tb[[#This Row],[Competitor Name]])</f>
        <v/>
      </c>
      <c r="E97" s="26" t="str">
        <f aca="false">IF(Matching_Tb[[#This Row],[CMT  Set-up]] = "", "", Matching_Tb[[#This Row],[CMT  Set-up]])</f>
        <v/>
      </c>
      <c r="F97" s="27" t="str">
        <f aca="false">IF(Matching_Tb[[#This Row],[Start date]] = "", "", Matching_Tb[[#This Row],[Start date]])</f>
        <v/>
      </c>
      <c r="G97" s="27" t="str">
        <f aca="false">IF(Matching_Tb[[#This Row],[End date]] = "", "", Matching_Tb[[#This Row],[End date]])</f>
        <v/>
      </c>
      <c r="H97" s="51" t="str">
        <f aca="false">IF(Matching_Tb[[#This Row],[Competitor URL]] = "", "", Matching_Tb[[#This Row],[Competitor URL]])</f>
        <v/>
      </c>
      <c r="I97" s="26" t="str">
        <f aca="false">IF(Site_Content[[#This Row],[Competitor Name]] = "", "", IF(Matching_Tb[[#This Row],[Promo code]]="", "N/A", Matching_Tb[[#This Row],[Promo code]]))</f>
        <v/>
      </c>
      <c r="J97" s="26" t="str">
        <f aca="false">IF(Matching_Tb[[#This Row],[Offer Details]] = "", "", Matching_Tb[[#This Row],[Offer Details]])</f>
        <v/>
      </c>
      <c r="K97" s="51" t="str">
        <f aca="false">IF(Matching_Tb[[#This Row],[TT Link]]="", "", IF(Matching_Tb[[#This Row],[Can be matched ? ]] = "No", "", Matching_Tb[[#This Row],[TT Link]]))</f>
        <v/>
      </c>
      <c r="L97" s="26" t="str">
        <f aca="false">IF(Matching_Tb[[#This Row],[Can be matched ? ]] = "", "", Matching_Tb[[#This Row],[Can be matched ? ]])</f>
        <v/>
      </c>
      <c r="M97" s="41" t="str">
        <f aca="false">IF(Matching_Tb[[#This Row],[Rebate type]] = "", "", Matching_Tb[[#This Row],[Rebate type]])</f>
        <v/>
      </c>
      <c r="N97" s="26" t="str">
        <f aca="false">IF('Matching Sheet'!P97="", "", (IF(Site_Content[[#This Row],[Can be matched ? ]]="Yes", "Matched", Matching_Tb[[#This Row],[Comment]])))</f>
        <v/>
      </c>
    </row>
    <row r="98" customFormat="false" ht="14.25" hidden="false" customHeight="false" outlineLevel="0" collapsed="false">
      <c r="A98" s="26" t="str">
        <f aca="false">IF(Matching_Tb[[#This Row],[MKPL]] = "", "", Matching_Tb[[#This Row],[MKPL]])</f>
        <v/>
      </c>
      <c r="B98" s="26" t="str">
        <f aca="false">IF(Matching_Tb[[#This Row],[PL]] = "", "", Matching_Tb[[#This Row],[PL]])</f>
        <v/>
      </c>
      <c r="C98" s="26" t="str">
        <f aca="false">IF(Matching_Tb[[#This Row],[GL]] = "", "", Matching_Tb[[#This Row],[GL]])</f>
        <v/>
      </c>
      <c r="D98" s="50" t="str">
        <f aca="false">IF(Matching_Tb[[#This Row],[Competitor Name]] = "", "", Matching_Tb[[#This Row],[Competitor Name]])</f>
        <v/>
      </c>
      <c r="E98" s="26" t="str">
        <f aca="false">IF(Matching_Tb[[#This Row],[CMT  Set-up]] = "", "", Matching_Tb[[#This Row],[CMT  Set-up]])</f>
        <v/>
      </c>
      <c r="F98" s="27" t="str">
        <f aca="false">IF(Matching_Tb[[#This Row],[Start date]] = "", "", Matching_Tb[[#This Row],[Start date]])</f>
        <v/>
      </c>
      <c r="G98" s="27" t="str">
        <f aca="false">IF(Matching_Tb[[#This Row],[End date]] = "", "", Matching_Tb[[#This Row],[End date]])</f>
        <v/>
      </c>
      <c r="H98" s="51" t="str">
        <f aca="false">IF(Matching_Tb[[#This Row],[Competitor URL]] = "", "", Matching_Tb[[#This Row],[Competitor URL]])</f>
        <v/>
      </c>
      <c r="I98" s="26" t="str">
        <f aca="false">IF(Site_Content[[#This Row],[Competitor Name]] = "", "", IF(Matching_Tb[[#This Row],[Promo code]]="", "N/A", Matching_Tb[[#This Row],[Promo code]]))</f>
        <v/>
      </c>
      <c r="J98" s="26" t="str">
        <f aca="false">IF(Matching_Tb[[#This Row],[Offer Details]] = "", "", Matching_Tb[[#This Row],[Offer Details]])</f>
        <v/>
      </c>
      <c r="K98" s="51" t="str">
        <f aca="false">IF(Matching_Tb[[#This Row],[TT Link]]="", "", IF(Matching_Tb[[#This Row],[Can be matched ? ]] = "No", "", Matching_Tb[[#This Row],[TT Link]]))</f>
        <v/>
      </c>
      <c r="L98" s="26" t="str">
        <f aca="false">IF(Matching_Tb[[#This Row],[Can be matched ? ]] = "", "", Matching_Tb[[#This Row],[Can be matched ? ]])</f>
        <v/>
      </c>
      <c r="M98" s="41" t="str">
        <f aca="false">IF(Matching_Tb[[#This Row],[Rebate type]] = "", "", Matching_Tb[[#This Row],[Rebate type]])</f>
        <v/>
      </c>
      <c r="N98" s="26" t="str">
        <f aca="false">IF('Matching Sheet'!P98="", "", (IF(Site_Content[[#This Row],[Can be matched ? ]]="Yes", "Matched", Matching_Tb[[#This Row],[Comment]])))</f>
        <v/>
      </c>
    </row>
    <row r="99" customFormat="false" ht="14.25" hidden="false" customHeight="false" outlineLevel="0" collapsed="false">
      <c r="A99" s="26" t="str">
        <f aca="false">IF(Matching_Tb[[#This Row],[MKPL]] = "", "", Matching_Tb[[#This Row],[MKPL]])</f>
        <v/>
      </c>
      <c r="B99" s="26" t="str">
        <f aca="false">IF(Matching_Tb[[#This Row],[PL]] = "", "", Matching_Tb[[#This Row],[PL]])</f>
        <v/>
      </c>
      <c r="C99" s="26" t="str">
        <f aca="false">IF(Matching_Tb[[#This Row],[GL]] = "", "", Matching_Tb[[#This Row],[GL]])</f>
        <v/>
      </c>
      <c r="D99" s="50" t="str">
        <f aca="false">IF(Matching_Tb[[#This Row],[Competitor Name]] = "", "", Matching_Tb[[#This Row],[Competitor Name]])</f>
        <v/>
      </c>
      <c r="E99" s="26" t="str">
        <f aca="false">IF(Matching_Tb[[#This Row],[CMT  Set-up]] = "", "", Matching_Tb[[#This Row],[CMT  Set-up]])</f>
        <v/>
      </c>
      <c r="F99" s="27" t="str">
        <f aca="false">IF(Matching_Tb[[#This Row],[Start date]] = "", "", Matching_Tb[[#This Row],[Start date]])</f>
        <v/>
      </c>
      <c r="G99" s="27" t="str">
        <f aca="false">IF(Matching_Tb[[#This Row],[End date]] = "", "", Matching_Tb[[#This Row],[End date]])</f>
        <v/>
      </c>
      <c r="H99" s="51" t="str">
        <f aca="false">IF(Matching_Tb[[#This Row],[Competitor URL]] = "", "", Matching_Tb[[#This Row],[Competitor URL]])</f>
        <v/>
      </c>
      <c r="I99" s="26" t="str">
        <f aca="false">IF(Site_Content[[#This Row],[Competitor Name]] = "", "", IF(Matching_Tb[[#This Row],[Promo code]]="", "N/A", Matching_Tb[[#This Row],[Promo code]]))</f>
        <v/>
      </c>
      <c r="J99" s="26" t="str">
        <f aca="false">IF(Matching_Tb[[#This Row],[Offer Details]] = "", "", Matching_Tb[[#This Row],[Offer Details]])</f>
        <v/>
      </c>
      <c r="K99" s="51" t="str">
        <f aca="false">IF(Matching_Tb[[#This Row],[TT Link]]="", "", IF(Matching_Tb[[#This Row],[Can be matched ? ]] = "No", "", Matching_Tb[[#This Row],[TT Link]]))</f>
        <v/>
      </c>
      <c r="L99" s="26" t="str">
        <f aca="false">IF(Matching_Tb[[#This Row],[Can be matched ? ]] = "", "", Matching_Tb[[#This Row],[Can be matched ? ]])</f>
        <v/>
      </c>
      <c r="M99" s="41" t="str">
        <f aca="false">IF(Matching_Tb[[#This Row],[Rebate type]] = "", "", Matching_Tb[[#This Row],[Rebate type]])</f>
        <v/>
      </c>
      <c r="N99" s="26" t="str">
        <f aca="false">IF('Matching Sheet'!P99="", "", (IF(Site_Content[[#This Row],[Can be matched ? ]]="Yes", "Matched", Matching_Tb[[#This Row],[Comment]])))</f>
        <v/>
      </c>
    </row>
    <row r="100" customFormat="false" ht="14.25" hidden="false" customHeight="false" outlineLevel="0" collapsed="false">
      <c r="A100" s="38" t="str">
        <f aca="false">IF(Matching_Tb[[#This Row],[MKPL]] = "", "", Matching_Tb[[#This Row],[MKPL]])</f>
        <v/>
      </c>
      <c r="B100" s="38" t="str">
        <f aca="false">IF(Matching_Tb[[#This Row],[PL]] = "", "", Matching_Tb[[#This Row],[PL]])</f>
        <v/>
      </c>
      <c r="C100" s="38" t="str">
        <f aca="false">IF(Matching_Tb[[#This Row],[GL]] = "", "", Matching_Tb[[#This Row],[GL]])</f>
        <v/>
      </c>
      <c r="D100" s="54" t="str">
        <f aca="false">IF(Matching_Tb[[#This Row],[Competitor Name]] = "", "", Matching_Tb[[#This Row],[Competitor Name]])</f>
        <v/>
      </c>
      <c r="E100" s="38" t="str">
        <f aca="false">IF(Matching_Tb[[#This Row],[CMT  Set-up]] = "", "", Matching_Tb[[#This Row],[CMT  Set-up]])</f>
        <v/>
      </c>
      <c r="F100" s="55" t="str">
        <f aca="false">IF(Matching_Tb[[#This Row],[Start date]] = "", "", Matching_Tb[[#This Row],[Start date]])</f>
        <v/>
      </c>
      <c r="G100" s="55" t="str">
        <f aca="false">IF(Matching_Tb[[#This Row],[End date]] = "", "", Matching_Tb[[#This Row],[End date]])</f>
        <v/>
      </c>
      <c r="H100" s="37" t="str">
        <f aca="false">IF(Matching_Tb[[#This Row],[Competitor URL]] = "", "", Matching_Tb[[#This Row],[Competitor URL]])</f>
        <v/>
      </c>
      <c r="I100" s="38" t="str">
        <f aca="false">IF(Site_Content[[#This Row],[Competitor Name]] = "", "", IF(Matching_Tb[[#This Row],[Promo code]]="", "N/A", Matching_Tb[[#This Row],[Promo code]]))</f>
        <v/>
      </c>
      <c r="J100" s="38" t="str">
        <f aca="false">IF(Matching_Tb[[#This Row],[Offer Details]] = "", "", Matching_Tb[[#This Row],[Offer Details]])</f>
        <v/>
      </c>
      <c r="K100" s="37" t="str">
        <f aca="false">IF(Matching_Tb[[#This Row],[TT Link]]="", "", IF(Matching_Tb[[#This Row],[Can be matched ? ]] = "No", "", Matching_Tb[[#This Row],[TT Link]]))</f>
        <v/>
      </c>
      <c r="L100" s="38" t="str">
        <f aca="false">IF(Matching_Tb[[#This Row],[Can be matched ? ]] = "", "", Matching_Tb[[#This Row],[Can be matched ? ]])</f>
        <v/>
      </c>
      <c r="M100" s="56" t="str">
        <f aca="false">IF(Matching_Tb[[#This Row],[Rebate type]] = "", "", Matching_Tb[[#This Row],[Rebate type]])</f>
        <v/>
      </c>
      <c r="N100" s="38" t="str">
        <f aca="false">IF('Matching Sheet'!P100="", "", (IF(Site_Content[[#This Row],[Can be matched ? ]]="Yes", "Matched", Matching_Tb[[#This Row],[Comment]])))</f>
        <v/>
      </c>
    </row>
  </sheetData>
  <conditionalFormatting sqref="A2:N2">
    <cfRule type="duplicateValues" priority="2" aboveAverage="0" equalAverage="0" bottom="0" percent="0" rank="0" text="" dxfId="136"/>
  </conditionalFormatting>
  <dataValidations count="2">
    <dataValidation allowBlank="true" errorStyle="stop" operator="between" showDropDown="false" showErrorMessage="true" showInputMessage="true" sqref="A22:A1100" type="list">
      <formula1>"Manual,Tesla,Stark"</formula1>
      <formula2>0</formula2>
    </dataValidation>
    <dataValidation allowBlank="true" errorStyle="stop" operator="between" showDropDown="false" showErrorMessage="true" showInputMessage="true" sqref="E3:E32 F22:F31 E33:E100" type="list">
      <formula1>"Vibe,ST"</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tableParts>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U3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A2" activeCellId="1" sqref="4:8 A2"/>
    </sheetView>
  </sheetViews>
  <sheetFormatPr defaultColWidth="8.72265625" defaultRowHeight="14.25" zeroHeight="false" outlineLevelRow="0" outlineLevelCol="0"/>
  <cols>
    <col collapsed="false" customWidth="true" hidden="false" outlineLevel="0" max="1" min="1" style="2" width="8.27"/>
    <col collapsed="false" customWidth="true" hidden="false" outlineLevel="0" max="2" min="2" style="2" width="10.18"/>
    <col collapsed="false" customWidth="true" hidden="false" outlineLevel="0" max="3" min="3" style="2" width="10.45"/>
    <col collapsed="false" customWidth="true" hidden="false" outlineLevel="0" max="4" min="4" style="2" width="9.09"/>
    <col collapsed="false" customWidth="true" hidden="false" outlineLevel="0" max="5" min="5" style="2" width="8.36"/>
    <col collapsed="false" customWidth="true" hidden="false" outlineLevel="0" max="6" min="6" style="2" width="7.18"/>
    <col collapsed="false" customWidth="true" hidden="false" outlineLevel="0" max="8" min="7" style="2" width="7.73"/>
    <col collapsed="false" customWidth="true" hidden="false" outlineLevel="0" max="9" min="9" style="2" width="7.64"/>
    <col collapsed="false" customWidth="true" hidden="false" outlineLevel="0" max="10" min="10" style="2" width="8.27"/>
    <col collapsed="false" customWidth="true" hidden="false" outlineLevel="0" max="11" min="11" style="2" width="7.82"/>
    <col collapsed="false" customWidth="true" hidden="false" outlineLevel="0" max="12" min="12" style="2" width="10.27"/>
    <col collapsed="false" customWidth="true" hidden="false" outlineLevel="0" max="13" min="13" style="2" width="10.36"/>
    <col collapsed="false" customWidth="true" hidden="false" outlineLevel="0" max="14" min="14" style="2" width="10.54"/>
    <col collapsed="false" customWidth="true" hidden="false" outlineLevel="0" max="15" min="15" style="2" width="9.45"/>
    <col collapsed="false" customWidth="true" hidden="false" outlineLevel="0" max="17" min="16" style="2" width="9.09"/>
    <col collapsed="false" customWidth="true" hidden="false" outlineLevel="0" max="19" min="18" style="2" width="10"/>
    <col collapsed="false" customWidth="true" hidden="false" outlineLevel="0" max="20" min="20" style="2" width="10.09"/>
    <col collapsed="false" customWidth="true" hidden="false" outlineLevel="0" max="21" min="21" style="2" width="10.27"/>
    <col collapsed="false" customWidth="false" hidden="true" outlineLevel="0" max="1024" min="22" style="2" width="8.72"/>
  </cols>
  <sheetData>
    <row r="1" customFormat="false" ht="45" hidden="false" customHeight="true" outlineLevel="0" collapsed="false"/>
    <row r="2" s="138" customFormat="true" ht="39" hidden="false" customHeight="false" outlineLevel="0" collapsed="false">
      <c r="A2" s="137" t="s">
        <v>2593</v>
      </c>
      <c r="B2" s="137" t="s">
        <v>2594</v>
      </c>
      <c r="C2" s="137" t="s">
        <v>2595</v>
      </c>
      <c r="D2" s="137" t="s">
        <v>2596</v>
      </c>
      <c r="E2" s="137" t="s">
        <v>2597</v>
      </c>
      <c r="F2" s="137" t="s">
        <v>2598</v>
      </c>
      <c r="G2" s="137" t="s">
        <v>2599</v>
      </c>
      <c r="H2" s="137" t="s">
        <v>2600</v>
      </c>
      <c r="I2" s="137" t="s">
        <v>2601</v>
      </c>
      <c r="J2" s="137" t="s">
        <v>2602</v>
      </c>
      <c r="K2" s="137" t="s">
        <v>2603</v>
      </c>
      <c r="L2" s="137" t="s">
        <v>2604</v>
      </c>
      <c r="M2" s="137" t="s">
        <v>2605</v>
      </c>
      <c r="N2" s="137" t="s">
        <v>209</v>
      </c>
      <c r="O2" s="137" t="s">
        <v>173</v>
      </c>
      <c r="P2" s="137" t="s">
        <v>2606</v>
      </c>
      <c r="Q2" s="137" t="s">
        <v>2607</v>
      </c>
      <c r="R2" s="137" t="s">
        <v>2608</v>
      </c>
      <c r="S2" s="137" t="s">
        <v>2609</v>
      </c>
      <c r="T2" s="137" t="s">
        <v>2610</v>
      </c>
      <c r="U2" s="137" t="s">
        <v>2611</v>
      </c>
    </row>
    <row r="3" customFormat="false" ht="14.25" hidden="false" customHeight="false" outlineLevel="0" collapsed="false">
      <c r="A3" s="139" t="str">
        <f aca="false">IF(Productivity_Table[[#This Row],[Date]]="", "", TEXT(Productivity_Table[[#This Row],[Date]], "MMMM"))</f>
        <v>July</v>
      </c>
      <c r="B3" s="140" t="n">
        <v>35</v>
      </c>
      <c r="C3" s="140" t="n">
        <v>9</v>
      </c>
      <c r="D3" s="140" t="n">
        <v>3</v>
      </c>
      <c r="E3" s="140"/>
      <c r="F3" s="140"/>
      <c r="G3" s="140"/>
      <c r="H3" s="140" t="n">
        <v>38</v>
      </c>
      <c r="I3" s="140"/>
      <c r="J3" s="140"/>
      <c r="K3" s="140"/>
      <c r="L3" s="140"/>
      <c r="M3" s="140"/>
      <c r="N3" s="141"/>
      <c r="O3" s="142" t="n">
        <v>44745</v>
      </c>
      <c r="P3" s="140"/>
      <c r="Q3" s="140"/>
      <c r="R3" s="140"/>
      <c r="S3" s="140"/>
      <c r="T3" s="140"/>
      <c r="U3" s="143"/>
    </row>
    <row r="4" customFormat="false" ht="14.25" hidden="false" customHeight="false" outlineLevel="0" collapsed="false">
      <c r="A4" s="139" t="str">
        <f aca="false">IF(Productivity_Table[[#This Row],[Date]]="", "", TEXT(Productivity_Table[[#This Row],[Date]], "MMMM"))</f>
        <v/>
      </c>
      <c r="B4" s="140"/>
      <c r="C4" s="140"/>
      <c r="D4" s="140"/>
      <c r="E4" s="140"/>
      <c r="F4" s="140"/>
      <c r="G4" s="140"/>
      <c r="H4" s="140" t="n">
        <v>18</v>
      </c>
      <c r="I4" s="140"/>
      <c r="J4" s="140"/>
      <c r="K4" s="140"/>
      <c r="L4" s="140"/>
      <c r="M4" s="140"/>
      <c r="N4" s="140"/>
      <c r="O4" s="141"/>
      <c r="P4" s="140"/>
      <c r="Q4" s="140"/>
      <c r="R4" s="140"/>
      <c r="S4" s="140"/>
      <c r="T4" s="140"/>
      <c r="U4" s="143"/>
    </row>
    <row r="5" customFormat="false" ht="14.25" hidden="false" customHeight="false" outlineLevel="0" collapsed="false">
      <c r="A5" s="139" t="str">
        <f aca="false">IF(Productivity_Table[[#This Row],[Date]]="", "", TEXT(Productivity_Table[[#This Row],[Date]], "MMMM"))</f>
        <v/>
      </c>
      <c r="B5" s="140"/>
      <c r="C5" s="140"/>
      <c r="D5" s="140"/>
      <c r="E5" s="140"/>
      <c r="F5" s="140"/>
      <c r="G5" s="140"/>
      <c r="H5" s="140" t="n">
        <v>12</v>
      </c>
      <c r="I5" s="140"/>
      <c r="J5" s="140"/>
      <c r="K5" s="140"/>
      <c r="L5" s="140"/>
      <c r="M5" s="140"/>
      <c r="N5" s="140"/>
      <c r="O5" s="141"/>
      <c r="P5" s="140"/>
      <c r="Q5" s="140"/>
      <c r="R5" s="140"/>
      <c r="S5" s="140"/>
      <c r="T5" s="140"/>
      <c r="U5" s="143"/>
    </row>
    <row r="6" customFormat="false" ht="14.25" hidden="false" customHeight="false" outlineLevel="0" collapsed="false">
      <c r="A6" s="139" t="str">
        <f aca="false">IF(Productivity_Table[[#This Row],[Date]]="", "", TEXT(Productivity_Table[[#This Row],[Date]], "MMMM"))</f>
        <v/>
      </c>
      <c r="B6" s="140"/>
      <c r="C6" s="140"/>
      <c r="D6" s="140"/>
      <c r="E6" s="140"/>
      <c r="F6" s="140"/>
      <c r="G6" s="140"/>
      <c r="H6" s="140" t="n">
        <v>12</v>
      </c>
      <c r="I6" s="140"/>
      <c r="J6" s="140"/>
      <c r="K6" s="140"/>
      <c r="L6" s="140"/>
      <c r="M6" s="140"/>
      <c r="N6" s="140"/>
      <c r="O6" s="140"/>
      <c r="P6" s="140"/>
      <c r="Q6" s="140"/>
      <c r="R6" s="140"/>
      <c r="S6" s="140"/>
      <c r="T6" s="140"/>
      <c r="U6" s="143"/>
    </row>
    <row r="7" customFormat="false" ht="14.25" hidden="false" customHeight="false" outlineLevel="0" collapsed="false">
      <c r="A7" s="139" t="str">
        <f aca="false">IF(Productivity_Table[[#This Row],[Date]]="", "", TEXT(Productivity_Table[[#This Row],[Date]], "MMMM"))</f>
        <v/>
      </c>
      <c r="B7" s="140"/>
      <c r="C7" s="140"/>
      <c r="D7" s="140"/>
      <c r="E7" s="140"/>
      <c r="F7" s="140"/>
      <c r="G7" s="140"/>
      <c r="H7" s="140" t="n">
        <v>4</v>
      </c>
      <c r="I7" s="140"/>
      <c r="J7" s="140"/>
      <c r="K7" s="140"/>
      <c r="L7" s="140"/>
      <c r="M7" s="140"/>
      <c r="N7" s="140"/>
      <c r="O7" s="140"/>
      <c r="P7" s="140"/>
      <c r="Q7" s="140"/>
      <c r="R7" s="140"/>
      <c r="S7" s="140"/>
      <c r="T7" s="140"/>
      <c r="U7" s="143"/>
    </row>
    <row r="8" customFormat="false" ht="14.25" hidden="false" customHeight="false" outlineLevel="0" collapsed="false">
      <c r="A8" s="139" t="str">
        <f aca="false">IF(Productivity_Table[[#This Row],[Date]]="", "", TEXT(Productivity_Table[[#This Row],[Date]], "MMMM"))</f>
        <v/>
      </c>
      <c r="B8" s="140"/>
      <c r="C8" s="140"/>
      <c r="D8" s="140"/>
      <c r="E8" s="140"/>
      <c r="F8" s="140"/>
      <c r="G8" s="140"/>
      <c r="H8" s="140" t="n">
        <v>21</v>
      </c>
      <c r="I8" s="140"/>
      <c r="J8" s="140"/>
      <c r="K8" s="140"/>
      <c r="L8" s="140"/>
      <c r="M8" s="140"/>
      <c r="N8" s="140"/>
      <c r="O8" s="141"/>
      <c r="P8" s="140"/>
      <c r="Q8" s="140"/>
      <c r="R8" s="140"/>
      <c r="S8" s="140"/>
      <c r="T8" s="140"/>
      <c r="U8" s="143"/>
    </row>
    <row r="9" customFormat="false" ht="14.25" hidden="false" customHeight="false" outlineLevel="0" collapsed="false">
      <c r="A9" s="139" t="str">
        <f aca="false">IF(Productivity_Table[[#This Row],[Date]]="", "", TEXT(Productivity_Table[[#This Row],[Date]], "MMMM"))</f>
        <v/>
      </c>
      <c r="B9" s="140"/>
      <c r="C9" s="140"/>
      <c r="D9" s="140"/>
      <c r="E9" s="140"/>
      <c r="F9" s="140"/>
      <c r="G9" s="140"/>
      <c r="H9" s="140"/>
      <c r="I9" s="140"/>
      <c r="J9" s="140"/>
      <c r="K9" s="140"/>
      <c r="L9" s="140"/>
      <c r="M9" s="140"/>
      <c r="N9" s="140"/>
      <c r="O9" s="141"/>
      <c r="P9" s="140"/>
      <c r="Q9" s="140"/>
      <c r="R9" s="140"/>
      <c r="S9" s="140"/>
      <c r="T9" s="140"/>
      <c r="U9" s="143"/>
    </row>
    <row r="10" customFormat="false" ht="14.25" hidden="false" customHeight="false" outlineLevel="0" collapsed="false">
      <c r="A10" s="139" t="str">
        <f aca="false">IF(Productivity_Table[[#This Row],[Date]]="", "", TEXT(Productivity_Table[[#This Row],[Date]], "MMMM"))</f>
        <v/>
      </c>
      <c r="B10" s="140"/>
      <c r="C10" s="140"/>
      <c r="D10" s="140"/>
      <c r="E10" s="140"/>
      <c r="F10" s="140"/>
      <c r="G10" s="140"/>
      <c r="H10" s="140"/>
      <c r="I10" s="140"/>
      <c r="J10" s="140"/>
      <c r="K10" s="140"/>
      <c r="L10" s="140"/>
      <c r="M10" s="140"/>
      <c r="N10" s="140"/>
      <c r="O10" s="141"/>
      <c r="P10" s="140"/>
      <c r="Q10" s="140"/>
      <c r="R10" s="140"/>
      <c r="S10" s="140"/>
      <c r="T10" s="140"/>
      <c r="U10" s="143"/>
    </row>
    <row r="11" customFormat="false" ht="14.25" hidden="false" customHeight="false" outlineLevel="0" collapsed="false">
      <c r="A11" s="139" t="str">
        <f aca="false">IF(Productivity_Table[[#This Row],[Date]]="", "", TEXT(Productivity_Table[[#This Row],[Date]], "MMMM"))</f>
        <v/>
      </c>
      <c r="B11" s="140"/>
      <c r="C11" s="140"/>
      <c r="D11" s="140"/>
      <c r="E11" s="140"/>
      <c r="F11" s="140"/>
      <c r="G11" s="140"/>
      <c r="H11" s="140"/>
      <c r="I11" s="140"/>
      <c r="J11" s="140"/>
      <c r="K11" s="140"/>
      <c r="L11" s="140"/>
      <c r="M11" s="140"/>
      <c r="N11" s="140"/>
      <c r="O11" s="141"/>
      <c r="P11" s="140"/>
      <c r="Q11" s="140"/>
      <c r="R11" s="140"/>
      <c r="S11" s="140"/>
      <c r="T11" s="140"/>
      <c r="U11" s="143"/>
    </row>
    <row r="12" customFormat="false" ht="14.25" hidden="false" customHeight="false" outlineLevel="0" collapsed="false">
      <c r="A12" s="139" t="str">
        <f aca="false">IF(Productivity_Table[[#This Row],[Date]]="", "", TEXT(Productivity_Table[[#This Row],[Date]], "MMMM"))</f>
        <v/>
      </c>
      <c r="B12" s="140"/>
      <c r="C12" s="140"/>
      <c r="D12" s="140"/>
      <c r="E12" s="140"/>
      <c r="F12" s="140"/>
      <c r="G12" s="140"/>
      <c r="H12" s="140"/>
      <c r="I12" s="140"/>
      <c r="J12" s="140"/>
      <c r="K12" s="140"/>
      <c r="L12" s="140"/>
      <c r="M12" s="140"/>
      <c r="N12" s="140"/>
      <c r="O12" s="141"/>
      <c r="P12" s="140"/>
      <c r="Q12" s="140"/>
      <c r="R12" s="140"/>
      <c r="S12" s="140"/>
      <c r="T12" s="140"/>
      <c r="U12" s="143"/>
    </row>
    <row r="13" customFormat="false" ht="14.25" hidden="false" customHeight="false" outlineLevel="0" collapsed="false">
      <c r="A13" s="139" t="str">
        <f aca="false">IF(Productivity_Table[[#This Row],[Date]]="", "", TEXT(Productivity_Table[[#This Row],[Date]], "MMMM"))</f>
        <v/>
      </c>
      <c r="B13" s="140"/>
      <c r="C13" s="140"/>
      <c r="D13" s="140"/>
      <c r="E13" s="140"/>
      <c r="F13" s="140"/>
      <c r="G13" s="140"/>
      <c r="H13" s="140"/>
      <c r="I13" s="140"/>
      <c r="J13" s="140"/>
      <c r="K13" s="140"/>
      <c r="L13" s="140"/>
      <c r="M13" s="140"/>
      <c r="N13" s="140"/>
      <c r="O13" s="141"/>
      <c r="P13" s="140"/>
      <c r="Q13" s="140"/>
      <c r="R13" s="140"/>
      <c r="S13" s="140"/>
      <c r="T13" s="140"/>
      <c r="U13" s="143"/>
    </row>
    <row r="14" customFormat="false" ht="14.25" hidden="false" customHeight="false" outlineLevel="0" collapsed="false">
      <c r="A14" s="139" t="str">
        <f aca="false">IF(Productivity_Table[[#This Row],[Date]]="", "", TEXT(Productivity_Table[[#This Row],[Date]], "MMMM"))</f>
        <v/>
      </c>
      <c r="B14" s="140"/>
      <c r="C14" s="140"/>
      <c r="D14" s="140"/>
      <c r="E14" s="140"/>
      <c r="F14" s="140"/>
      <c r="G14" s="140"/>
      <c r="H14" s="140"/>
      <c r="I14" s="140"/>
      <c r="J14" s="140"/>
      <c r="K14" s="140"/>
      <c r="L14" s="140"/>
      <c r="M14" s="140"/>
      <c r="N14" s="140"/>
      <c r="O14" s="141"/>
      <c r="P14" s="140"/>
      <c r="Q14" s="140"/>
      <c r="R14" s="140"/>
      <c r="S14" s="140"/>
      <c r="T14" s="140"/>
      <c r="U14" s="143"/>
    </row>
    <row r="15" customFormat="false" ht="14.25" hidden="false" customHeight="false" outlineLevel="0" collapsed="false">
      <c r="A15" s="139" t="str">
        <f aca="false">IF(Productivity_Table[[#This Row],[Date]]="", "", TEXT(Productivity_Table[[#This Row],[Date]], "MMMM"))</f>
        <v/>
      </c>
      <c r="B15" s="140"/>
      <c r="C15" s="140"/>
      <c r="D15" s="140"/>
      <c r="E15" s="140"/>
      <c r="F15" s="140"/>
      <c r="G15" s="140"/>
      <c r="H15" s="140"/>
      <c r="I15" s="140"/>
      <c r="J15" s="140"/>
      <c r="K15" s="140"/>
      <c r="L15" s="140"/>
      <c r="M15" s="140"/>
      <c r="N15" s="140"/>
      <c r="O15" s="141"/>
      <c r="P15" s="140"/>
      <c r="Q15" s="140"/>
      <c r="R15" s="140"/>
      <c r="S15" s="140"/>
      <c r="T15" s="140"/>
      <c r="U15" s="143"/>
    </row>
    <row r="16" customFormat="false" ht="14.25" hidden="false" customHeight="false" outlineLevel="0" collapsed="false">
      <c r="A16" s="139" t="str">
        <f aca="false">IF(Productivity_Table[[#This Row],[Date]]="", "", TEXT(Productivity_Table[[#This Row],[Date]], "MMMM"))</f>
        <v/>
      </c>
      <c r="B16" s="140"/>
      <c r="C16" s="140"/>
      <c r="D16" s="140"/>
      <c r="E16" s="140"/>
      <c r="F16" s="140"/>
      <c r="G16" s="140"/>
      <c r="H16" s="140"/>
      <c r="I16" s="140"/>
      <c r="J16" s="140"/>
      <c r="K16" s="140"/>
      <c r="L16" s="140"/>
      <c r="M16" s="140"/>
      <c r="N16" s="140"/>
      <c r="O16" s="141"/>
      <c r="P16" s="140"/>
      <c r="Q16" s="140"/>
      <c r="R16" s="140"/>
      <c r="S16" s="140"/>
      <c r="T16" s="140"/>
      <c r="U16" s="143"/>
    </row>
    <row r="17" customFormat="false" ht="14.25" hidden="false" customHeight="false" outlineLevel="0" collapsed="false">
      <c r="A17" s="139" t="str">
        <f aca="false">IF(Productivity_Table[[#This Row],[Date]]="", "", TEXT(Productivity_Table[[#This Row],[Date]], "MMMM"))</f>
        <v/>
      </c>
      <c r="B17" s="140"/>
      <c r="C17" s="140"/>
      <c r="D17" s="140"/>
      <c r="E17" s="140"/>
      <c r="F17" s="140"/>
      <c r="G17" s="140"/>
      <c r="H17" s="140"/>
      <c r="I17" s="140"/>
      <c r="J17" s="140"/>
      <c r="K17" s="140"/>
      <c r="L17" s="140"/>
      <c r="M17" s="140"/>
      <c r="N17" s="140"/>
      <c r="O17" s="141"/>
      <c r="P17" s="140"/>
      <c r="Q17" s="140"/>
      <c r="R17" s="140"/>
      <c r="S17" s="140"/>
      <c r="T17" s="140"/>
      <c r="U17" s="143"/>
    </row>
    <row r="18" customFormat="false" ht="14.25" hidden="false" customHeight="false" outlineLevel="0" collapsed="false">
      <c r="A18" s="139" t="str">
        <f aca="false">IF(Productivity_Table[[#This Row],[Date]]="", "", TEXT(Productivity_Table[[#This Row],[Date]], "MMMM"))</f>
        <v/>
      </c>
      <c r="B18" s="140"/>
      <c r="C18" s="140"/>
      <c r="D18" s="140"/>
      <c r="E18" s="140"/>
      <c r="F18" s="140"/>
      <c r="G18" s="140"/>
      <c r="H18" s="140"/>
      <c r="I18" s="140"/>
      <c r="J18" s="140"/>
      <c r="K18" s="140"/>
      <c r="L18" s="140"/>
      <c r="M18" s="140"/>
      <c r="N18" s="140"/>
      <c r="O18" s="141"/>
      <c r="P18" s="140"/>
      <c r="Q18" s="140"/>
      <c r="R18" s="140"/>
      <c r="S18" s="140"/>
      <c r="T18" s="140"/>
      <c r="U18" s="143"/>
    </row>
    <row r="19" customFormat="false" ht="14.25" hidden="false" customHeight="false" outlineLevel="0" collapsed="false">
      <c r="A19" s="139" t="str">
        <f aca="false">IF(Productivity_Table[[#This Row],[Date]]="", "", TEXT(Productivity_Table[[#This Row],[Date]], "MMMM"))</f>
        <v/>
      </c>
      <c r="B19" s="140"/>
      <c r="C19" s="140"/>
      <c r="D19" s="140"/>
      <c r="E19" s="140"/>
      <c r="F19" s="140"/>
      <c r="G19" s="140"/>
      <c r="H19" s="140"/>
      <c r="I19" s="140"/>
      <c r="J19" s="140"/>
      <c r="K19" s="140"/>
      <c r="L19" s="140"/>
      <c r="M19" s="140"/>
      <c r="N19" s="140"/>
      <c r="O19" s="141"/>
      <c r="P19" s="140"/>
      <c r="Q19" s="140"/>
      <c r="R19" s="140"/>
      <c r="S19" s="140"/>
      <c r="T19" s="140"/>
      <c r="U19" s="143"/>
    </row>
    <row r="20" customFormat="false" ht="14.25" hidden="false" customHeight="false" outlineLevel="0" collapsed="false">
      <c r="A20" s="139" t="str">
        <f aca="false">IF(Productivity_Table[[#This Row],[Date]]="", "", TEXT(Productivity_Table[[#This Row],[Date]], "MMMM"))</f>
        <v/>
      </c>
      <c r="B20" s="140"/>
      <c r="C20" s="140"/>
      <c r="D20" s="140"/>
      <c r="E20" s="140"/>
      <c r="F20" s="140"/>
      <c r="G20" s="140"/>
      <c r="H20" s="140"/>
      <c r="I20" s="140"/>
      <c r="J20" s="140"/>
      <c r="K20" s="140"/>
      <c r="L20" s="140"/>
      <c r="M20" s="140"/>
      <c r="N20" s="140"/>
      <c r="O20" s="141"/>
      <c r="P20" s="140"/>
      <c r="Q20" s="140"/>
      <c r="R20" s="140"/>
      <c r="S20" s="140"/>
      <c r="T20" s="140"/>
      <c r="U20" s="143"/>
    </row>
    <row r="21" customFormat="false" ht="14.25" hidden="false" customHeight="false" outlineLevel="0" collapsed="false">
      <c r="A21" s="139" t="str">
        <f aca="false">IF(Productivity_Table[[#This Row],[Date]]="", "", TEXT(Productivity_Table[[#This Row],[Date]], "MMMM"))</f>
        <v/>
      </c>
      <c r="B21" s="140"/>
      <c r="C21" s="140"/>
      <c r="D21" s="140"/>
      <c r="E21" s="140"/>
      <c r="F21" s="140"/>
      <c r="G21" s="140"/>
      <c r="H21" s="140"/>
      <c r="I21" s="140"/>
      <c r="J21" s="140"/>
      <c r="K21" s="140"/>
      <c r="L21" s="140"/>
      <c r="M21" s="140"/>
      <c r="N21" s="140"/>
      <c r="O21" s="141"/>
      <c r="P21" s="140"/>
      <c r="Q21" s="140"/>
      <c r="R21" s="140"/>
      <c r="S21" s="140"/>
      <c r="T21" s="140"/>
      <c r="U21" s="143"/>
    </row>
    <row r="22" customFormat="false" ht="14.25" hidden="false" customHeight="false" outlineLevel="0" collapsed="false">
      <c r="A22" s="139" t="str">
        <f aca="false">IF(Productivity_Table[[#This Row],[Date]]="", "", TEXT(Productivity_Table[[#This Row],[Date]], "MMMM"))</f>
        <v/>
      </c>
      <c r="B22" s="140"/>
      <c r="C22" s="140"/>
      <c r="D22" s="140"/>
      <c r="E22" s="140"/>
      <c r="F22" s="140"/>
      <c r="G22" s="140"/>
      <c r="H22" s="140"/>
      <c r="I22" s="140"/>
      <c r="J22" s="140"/>
      <c r="K22" s="140"/>
      <c r="L22" s="140"/>
      <c r="M22" s="140"/>
      <c r="N22" s="140"/>
      <c r="O22" s="141"/>
      <c r="P22" s="140"/>
      <c r="Q22" s="140"/>
      <c r="R22" s="140"/>
      <c r="S22" s="140"/>
      <c r="T22" s="140"/>
      <c r="U22" s="143"/>
    </row>
    <row r="23" customFormat="false" ht="14.25" hidden="false" customHeight="false" outlineLevel="0" collapsed="false">
      <c r="A23" s="139" t="str">
        <f aca="false">IF(Productivity_Table[[#This Row],[Date]]="", "", TEXT(Productivity_Table[[#This Row],[Date]], "MMMM"))</f>
        <v/>
      </c>
      <c r="B23" s="140"/>
      <c r="C23" s="140"/>
      <c r="D23" s="140"/>
      <c r="E23" s="140"/>
      <c r="F23" s="140"/>
      <c r="G23" s="140"/>
      <c r="H23" s="140"/>
      <c r="I23" s="140"/>
      <c r="J23" s="140"/>
      <c r="K23" s="140"/>
      <c r="L23" s="140"/>
      <c r="M23" s="140"/>
      <c r="N23" s="140"/>
      <c r="O23" s="141"/>
      <c r="P23" s="140"/>
      <c r="Q23" s="140"/>
      <c r="R23" s="140"/>
      <c r="S23" s="140"/>
      <c r="T23" s="140"/>
      <c r="U23" s="143"/>
    </row>
    <row r="24" customFormat="false" ht="14.25" hidden="false" customHeight="false" outlineLevel="0" collapsed="false">
      <c r="A24" s="139" t="str">
        <f aca="false">IF(Productivity_Table[[#This Row],[Date]]="", "", TEXT(Productivity_Table[[#This Row],[Date]], "MMMM"))</f>
        <v/>
      </c>
      <c r="B24" s="140"/>
      <c r="C24" s="140"/>
      <c r="D24" s="140"/>
      <c r="E24" s="140"/>
      <c r="F24" s="140"/>
      <c r="G24" s="140"/>
      <c r="H24" s="140"/>
      <c r="I24" s="140"/>
      <c r="J24" s="140"/>
      <c r="K24" s="140"/>
      <c r="L24" s="140"/>
      <c r="M24" s="140"/>
      <c r="N24" s="140"/>
      <c r="O24" s="141"/>
      <c r="P24" s="140"/>
      <c r="Q24" s="140"/>
      <c r="R24" s="140"/>
      <c r="S24" s="140"/>
      <c r="T24" s="140"/>
      <c r="U24" s="143"/>
    </row>
    <row r="25" customFormat="false" ht="14.25" hidden="false" customHeight="false" outlineLevel="0" collapsed="false">
      <c r="A25" s="139" t="str">
        <f aca="false">IF(Productivity_Table[[#This Row],[Date]]="", "", TEXT(Productivity_Table[[#This Row],[Date]], "MMMM"))</f>
        <v/>
      </c>
      <c r="B25" s="140"/>
      <c r="C25" s="140"/>
      <c r="D25" s="140"/>
      <c r="E25" s="140"/>
      <c r="F25" s="140"/>
      <c r="G25" s="140"/>
      <c r="H25" s="140"/>
      <c r="I25" s="140"/>
      <c r="J25" s="140"/>
      <c r="K25" s="140"/>
      <c r="L25" s="140"/>
      <c r="M25" s="140"/>
      <c r="N25" s="140"/>
      <c r="O25" s="141"/>
      <c r="P25" s="140"/>
      <c r="Q25" s="140"/>
      <c r="R25" s="140"/>
      <c r="S25" s="140"/>
      <c r="T25" s="140"/>
      <c r="U25" s="143"/>
    </row>
    <row r="26" customFormat="false" ht="14.25" hidden="false" customHeight="false" outlineLevel="0" collapsed="false">
      <c r="A26" s="139" t="str">
        <f aca="false">IF(Productivity_Table[[#This Row],[Date]]="", "", TEXT(Productivity_Table[[#This Row],[Date]], "MMMM"))</f>
        <v/>
      </c>
      <c r="B26" s="140"/>
      <c r="C26" s="140"/>
      <c r="D26" s="140"/>
      <c r="E26" s="140"/>
      <c r="F26" s="140"/>
      <c r="G26" s="140"/>
      <c r="H26" s="140"/>
      <c r="I26" s="140"/>
      <c r="J26" s="140"/>
      <c r="K26" s="140"/>
      <c r="L26" s="140"/>
      <c r="M26" s="140"/>
      <c r="N26" s="140"/>
      <c r="O26" s="141"/>
      <c r="P26" s="140"/>
      <c r="Q26" s="140"/>
      <c r="R26" s="140"/>
      <c r="S26" s="140"/>
      <c r="T26" s="140"/>
      <c r="U26" s="143"/>
    </row>
    <row r="27" customFormat="false" ht="14.25" hidden="false" customHeight="false" outlineLevel="0" collapsed="false">
      <c r="A27" s="139" t="str">
        <f aca="false">IF(Productivity_Table[[#This Row],[Date]]="", "", TEXT(Productivity_Table[[#This Row],[Date]], "MMMM"))</f>
        <v/>
      </c>
      <c r="B27" s="140"/>
      <c r="C27" s="140"/>
      <c r="D27" s="140"/>
      <c r="E27" s="140"/>
      <c r="F27" s="140"/>
      <c r="G27" s="140"/>
      <c r="H27" s="140"/>
      <c r="I27" s="140"/>
      <c r="J27" s="140"/>
      <c r="K27" s="140"/>
      <c r="L27" s="140"/>
      <c r="M27" s="140"/>
      <c r="N27" s="140"/>
      <c r="O27" s="141"/>
      <c r="P27" s="140"/>
      <c r="Q27" s="140"/>
      <c r="R27" s="140"/>
      <c r="S27" s="140"/>
      <c r="T27" s="140"/>
      <c r="U27" s="143"/>
    </row>
    <row r="28" customFormat="false" ht="14.25" hidden="false" customHeight="false" outlineLevel="0" collapsed="false">
      <c r="A28" s="139" t="str">
        <f aca="false">IF(Productivity_Table[[#This Row],[Date]]="", "", TEXT(Productivity_Table[[#This Row],[Date]], "MMMM"))</f>
        <v/>
      </c>
      <c r="B28" s="140"/>
      <c r="C28" s="140"/>
      <c r="D28" s="140"/>
      <c r="E28" s="140"/>
      <c r="F28" s="140"/>
      <c r="G28" s="140"/>
      <c r="H28" s="140"/>
      <c r="I28" s="140"/>
      <c r="J28" s="140"/>
      <c r="K28" s="140"/>
      <c r="L28" s="140"/>
      <c r="M28" s="140"/>
      <c r="N28" s="140"/>
      <c r="O28" s="141"/>
      <c r="P28" s="140"/>
      <c r="Q28" s="140"/>
      <c r="R28" s="140"/>
      <c r="S28" s="140"/>
      <c r="T28" s="140"/>
      <c r="U28" s="143"/>
    </row>
    <row r="29" customFormat="false" ht="14.25" hidden="false" customHeight="false" outlineLevel="0" collapsed="false">
      <c r="A29" s="139" t="str">
        <f aca="false">IF(Productivity_Table[[#This Row],[Date]]="", "", TEXT(Productivity_Table[[#This Row],[Date]], "MMMM"))</f>
        <v/>
      </c>
      <c r="B29" s="140"/>
      <c r="C29" s="140"/>
      <c r="D29" s="140"/>
      <c r="E29" s="140"/>
      <c r="F29" s="140"/>
      <c r="G29" s="140"/>
      <c r="H29" s="140"/>
      <c r="I29" s="140"/>
      <c r="J29" s="140"/>
      <c r="K29" s="140"/>
      <c r="L29" s="140"/>
      <c r="M29" s="140"/>
      <c r="N29" s="140"/>
      <c r="O29" s="141"/>
      <c r="P29" s="140"/>
      <c r="Q29" s="140"/>
      <c r="R29" s="140"/>
      <c r="S29" s="140"/>
      <c r="T29" s="140"/>
      <c r="U29" s="143"/>
    </row>
    <row r="30" customFormat="false" ht="14.25" hidden="false" customHeight="false" outlineLevel="0" collapsed="false">
      <c r="A30" s="139" t="str">
        <f aca="false">IF(Productivity_Table[[#This Row],[Date]]="", "", TEXT(Productivity_Table[[#This Row],[Date]], "MMMM"))</f>
        <v/>
      </c>
      <c r="B30" s="140"/>
      <c r="C30" s="140"/>
      <c r="D30" s="140"/>
      <c r="E30" s="140"/>
      <c r="F30" s="140"/>
      <c r="G30" s="140"/>
      <c r="H30" s="140"/>
      <c r="I30" s="140"/>
      <c r="J30" s="140"/>
      <c r="K30" s="140"/>
      <c r="L30" s="140"/>
      <c r="M30" s="140"/>
      <c r="N30" s="140"/>
      <c r="O30" s="141"/>
      <c r="P30" s="140"/>
      <c r="Q30" s="140"/>
      <c r="R30" s="140"/>
      <c r="S30" s="140"/>
      <c r="T30" s="140"/>
      <c r="U30" s="143"/>
    </row>
    <row r="31" customFormat="false" ht="14.25" hidden="false" customHeight="false" outlineLevel="0" collapsed="false">
      <c r="A31" s="139" t="str">
        <f aca="false">IF(Productivity_Table[[#This Row],[Date]]="", "", TEXT(Productivity_Table[[#This Row],[Date]], "MMMM"))</f>
        <v/>
      </c>
      <c r="B31" s="140"/>
      <c r="C31" s="140"/>
      <c r="D31" s="140"/>
      <c r="E31" s="140"/>
      <c r="F31" s="140"/>
      <c r="G31" s="140"/>
      <c r="H31" s="140"/>
      <c r="I31" s="140"/>
      <c r="J31" s="140"/>
      <c r="K31" s="140"/>
      <c r="L31" s="140"/>
      <c r="M31" s="140"/>
      <c r="N31" s="140"/>
      <c r="O31" s="141"/>
      <c r="P31" s="140"/>
      <c r="Q31" s="140"/>
      <c r="R31" s="140"/>
      <c r="S31" s="140"/>
      <c r="T31" s="140"/>
      <c r="U31" s="143"/>
    </row>
    <row r="32" customFormat="false" ht="14.25" hidden="false" customHeight="false" outlineLevel="0" collapsed="false">
      <c r="A32" s="139" t="str">
        <f aca="false">IF(Productivity_Table[[#This Row],[Date]]="", "", TEXT(Productivity_Table[[#This Row],[Date]], "MMMM"))</f>
        <v/>
      </c>
      <c r="B32" s="140"/>
      <c r="C32" s="140"/>
      <c r="D32" s="140"/>
      <c r="E32" s="140"/>
      <c r="F32" s="140"/>
      <c r="G32" s="140"/>
      <c r="H32" s="140"/>
      <c r="I32" s="140"/>
      <c r="J32" s="140"/>
      <c r="K32" s="140"/>
      <c r="L32" s="140"/>
      <c r="M32" s="140"/>
      <c r="N32" s="140"/>
      <c r="O32" s="141"/>
      <c r="P32" s="140"/>
      <c r="Q32" s="140"/>
      <c r="R32" s="140"/>
      <c r="S32" s="140"/>
      <c r="T32" s="140"/>
      <c r="U32" s="143"/>
    </row>
    <row r="33" customFormat="false" ht="14.25" hidden="false" customHeight="false" outlineLevel="0" collapsed="false">
      <c r="A33" s="139" t="str">
        <f aca="false">IF(Productivity_Table[[#This Row],[Date]]="", "", TEXT(Productivity_Table[[#This Row],[Date]], "MMMM"))</f>
        <v/>
      </c>
      <c r="B33" s="144"/>
      <c r="C33" s="144"/>
      <c r="D33" s="144"/>
      <c r="E33" s="144"/>
      <c r="F33" s="144"/>
      <c r="G33" s="144"/>
      <c r="H33" s="144"/>
      <c r="I33" s="144"/>
      <c r="J33" s="144"/>
      <c r="K33" s="144"/>
      <c r="L33" s="144"/>
      <c r="M33" s="144"/>
      <c r="N33" s="144"/>
      <c r="O33" s="144"/>
      <c r="P33" s="144"/>
      <c r="Q33" s="144"/>
      <c r="R33" s="144"/>
      <c r="S33" s="144"/>
      <c r="T33" s="144"/>
      <c r="U33" s="145"/>
    </row>
  </sheetData>
  <conditionalFormatting sqref="A2:U2">
    <cfRule type="duplicateValues" priority="2" aboveAverage="0" equalAverage="0" bottom="0" percent="0" rank="0" text="" dxfId="137"/>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tableParts>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A2" activeCellId="1" sqref="4:8 A2"/>
    </sheetView>
  </sheetViews>
  <sheetFormatPr defaultColWidth="8.54296875" defaultRowHeight="14.25" zeroHeight="false" outlineLevelRow="0" outlineLevelCol="0"/>
  <cols>
    <col collapsed="false" customWidth="true" hidden="false" outlineLevel="0" max="1" min="1" style="1" width="8.72"/>
    <col collapsed="false" customWidth="true" hidden="false" outlineLevel="0" max="2" min="2" style="1" width="20.18"/>
    <col collapsed="false" customWidth="true" hidden="false" outlineLevel="0" max="3" min="3" style="1" width="67.64"/>
  </cols>
  <sheetData>
    <row r="1" customFormat="false" ht="45" hidden="false" customHeight="true" outlineLevel="0" collapsed="false"/>
    <row r="2" customFormat="false" ht="14.25" hidden="false" customHeight="false" outlineLevel="0" collapsed="false">
      <c r="A2" s="31" t="s">
        <v>2612</v>
      </c>
      <c r="B2" s="31" t="s">
        <v>2613</v>
      </c>
      <c r="C2" s="31" t="s">
        <v>2614</v>
      </c>
    </row>
    <row r="3" customFormat="false" ht="14.25" hidden="false" customHeight="false" outlineLevel="0" collapsed="false">
      <c r="A3" s="1" t="n">
        <v>1</v>
      </c>
      <c r="B3" s="1" t="s">
        <v>2615</v>
      </c>
    </row>
    <row r="4" customFormat="false" ht="14.25" hidden="false" customHeight="false" outlineLevel="0" collapsed="false">
      <c r="A4" s="1" t="n">
        <v>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C3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5" activePane="bottomLeft" state="frozen"/>
      <selection pane="topLeft" activeCell="A1" activeCellId="0" sqref="A1"/>
      <selection pane="bottomLeft" activeCell="C2" activeCellId="1" sqref="4:8 C2"/>
    </sheetView>
  </sheetViews>
  <sheetFormatPr defaultColWidth="8.54296875" defaultRowHeight="14.25" zeroHeight="false" outlineLevelRow="0" outlineLevelCol="0"/>
  <cols>
    <col collapsed="false" customWidth="true" hidden="false" outlineLevel="0" max="1" min="1" style="1" width="18.83"/>
    <col collapsed="false" customWidth="true" hidden="false" outlineLevel="0" max="3" min="3" style="1" width="29.45"/>
  </cols>
  <sheetData>
    <row r="2" customFormat="false" ht="14.25" hidden="false" customHeight="false" outlineLevel="0" collapsed="false">
      <c r="A2" s="31" t="s">
        <v>2616</v>
      </c>
      <c r="C2" s="31" t="s">
        <v>2613</v>
      </c>
    </row>
    <row r="3" customFormat="false" ht="14.25" hidden="false" customHeight="false" outlineLevel="0" collapsed="false">
      <c r="A3" s="1" t="s">
        <v>2617</v>
      </c>
      <c r="C3" s="1" t="s">
        <v>2618</v>
      </c>
    </row>
    <row r="4" customFormat="false" ht="14.25" hidden="false" customHeight="false" outlineLevel="0" collapsed="false">
      <c r="A4" s="1" t="s">
        <v>202</v>
      </c>
      <c r="C4" s="1" t="s">
        <v>152</v>
      </c>
    </row>
    <row r="5" customFormat="false" ht="14.25" hidden="false" customHeight="false" outlineLevel="0" collapsed="false">
      <c r="A5" s="1" t="s">
        <v>2619</v>
      </c>
      <c r="C5" s="1" t="s">
        <v>2620</v>
      </c>
    </row>
    <row r="6" customFormat="false" ht="14.25" hidden="false" customHeight="false" outlineLevel="0" collapsed="false">
      <c r="A6" s="1" t="s">
        <v>2621</v>
      </c>
      <c r="C6" s="1" t="s">
        <v>2622</v>
      </c>
    </row>
    <row r="7" customFormat="false" ht="14.25" hidden="false" customHeight="false" outlineLevel="0" collapsed="false">
      <c r="A7" s="1" t="s">
        <v>2623</v>
      </c>
      <c r="C7" s="1" t="s">
        <v>2624</v>
      </c>
    </row>
    <row r="8" customFormat="false" ht="14.25" hidden="false" customHeight="false" outlineLevel="0" collapsed="false">
      <c r="A8" s="1" t="s">
        <v>2625</v>
      </c>
      <c r="C8" s="80" t="s">
        <v>2626</v>
      </c>
    </row>
    <row r="9" customFormat="false" ht="14.25" hidden="false" customHeight="false" outlineLevel="0" collapsed="false">
      <c r="A9" s="1" t="s">
        <v>2627</v>
      </c>
      <c r="C9" s="1" t="s">
        <v>2628</v>
      </c>
    </row>
    <row r="10" customFormat="false" ht="14.25" hidden="false" customHeight="false" outlineLevel="0" collapsed="false">
      <c r="A10" s="1" t="s">
        <v>2629</v>
      </c>
      <c r="C10" s="1" t="s">
        <v>145</v>
      </c>
    </row>
    <row r="11" customFormat="false" ht="14.25" hidden="false" customHeight="false" outlineLevel="0" collapsed="false">
      <c r="A11" s="1" t="s">
        <v>2630</v>
      </c>
      <c r="C11" s="1" t="s">
        <v>171</v>
      </c>
    </row>
    <row r="12" customFormat="false" ht="14.25" hidden="false" customHeight="false" outlineLevel="0" collapsed="false">
      <c r="A12" s="1" t="s">
        <v>193</v>
      </c>
      <c r="C12" s="80" t="s">
        <v>2631</v>
      </c>
    </row>
    <row r="13" customFormat="false" ht="14.25" hidden="false" customHeight="false" outlineLevel="0" collapsed="false">
      <c r="C13" s="1" t="s">
        <v>2632</v>
      </c>
    </row>
    <row r="14" customFormat="false" ht="14.25" hidden="false" customHeight="false" outlineLevel="0" collapsed="false">
      <c r="C14" s="1" t="s">
        <v>2633</v>
      </c>
    </row>
    <row r="15" customFormat="false" ht="14.25" hidden="false" customHeight="false" outlineLevel="0" collapsed="false">
      <c r="C15" s="1" t="s">
        <v>2634</v>
      </c>
    </row>
    <row r="16" customFormat="false" ht="14.25" hidden="false" customHeight="false" outlineLevel="0" collapsed="false">
      <c r="C16" s="1" t="s">
        <v>2635</v>
      </c>
    </row>
    <row r="17" customFormat="false" ht="14.25" hidden="false" customHeight="false" outlineLevel="0" collapsed="false">
      <c r="C17" s="80" t="s">
        <v>2636</v>
      </c>
    </row>
    <row r="18" customFormat="false" ht="14.25" hidden="false" customHeight="false" outlineLevel="0" collapsed="false">
      <c r="C18" s="1" t="s">
        <v>2637</v>
      </c>
    </row>
    <row r="19" customFormat="false" ht="14.25" hidden="false" customHeight="false" outlineLevel="0" collapsed="false">
      <c r="C19" s="80" t="s">
        <v>125</v>
      </c>
    </row>
    <row r="20" customFormat="false" ht="14.25" hidden="false" customHeight="false" outlineLevel="0" collapsed="false">
      <c r="C20" s="1" t="s">
        <v>2638</v>
      </c>
    </row>
    <row r="21" customFormat="false" ht="14.25" hidden="false" customHeight="false" outlineLevel="0" collapsed="false">
      <c r="C21" s="1" t="s">
        <v>2639</v>
      </c>
    </row>
    <row r="22" customFormat="false" ht="14.25" hidden="false" customHeight="false" outlineLevel="0" collapsed="false">
      <c r="C22" s="1" t="s">
        <v>2437</v>
      </c>
    </row>
    <row r="23" customFormat="false" ht="14.25" hidden="false" customHeight="false" outlineLevel="0" collapsed="false">
      <c r="C23" s="1" t="s">
        <v>2640</v>
      </c>
    </row>
    <row r="24" customFormat="false" ht="14.25" hidden="false" customHeight="false" outlineLevel="0" collapsed="false">
      <c r="C24" s="1" t="s">
        <v>2641</v>
      </c>
    </row>
    <row r="25" customFormat="false" ht="14.25" hidden="false" customHeight="false" outlineLevel="0" collapsed="false">
      <c r="C25" s="80" t="s">
        <v>2642</v>
      </c>
    </row>
    <row r="26" customFormat="false" ht="14.25" hidden="false" customHeight="false" outlineLevel="0" collapsed="false">
      <c r="C26" s="1" t="s">
        <v>2643</v>
      </c>
    </row>
    <row r="27" customFormat="false" ht="14.25" hidden="false" customHeight="false" outlineLevel="0" collapsed="false">
      <c r="C27" s="1" t="s">
        <v>135</v>
      </c>
    </row>
    <row r="28" customFormat="false" ht="14.25" hidden="false" customHeight="false" outlineLevel="0" collapsed="false">
      <c r="C28" s="1" t="s">
        <v>2461</v>
      </c>
    </row>
    <row r="33" customFormat="false" ht="14.25" hidden="false" customHeight="false" outlineLevel="0" collapsed="false">
      <c r="A33" s="1" t="s">
        <v>2644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item1.xml><?xml version="1.0" encoding="utf-8"?>
<DataMashup xmlns="http://schemas.microsoft.com/DataMashup">AAAAAFkEAABQSwMEFAACAAgAG6v4VIUqYVmmAAAA+QAAABIAHABDb25maWcvUGFja2FnZS54bWwgohgAKKAUAAAAAAAAAAAAAAAAAAAAAAAAAAAAhc8xDoIwGAXgq5DutKUaI+SnDK6SmBCNa1MqNEIxtFju5uCRvIIkiro5vpdveO9xu0M2tk1wVb3VnUlRhCkKlJFdqU2VosGdwjXKOOyEPItKBRM2NhltmaLauUtCiPce+wXu+oowSiNyzLeFrFUr0Afr/zjUxjphpEIcDq8xnOF4iVeMxZhOFsjcQ67N17BpMqZAfkrYDI0besWVCfcFkDkCed/gT1BLAwQUAAIACAAbq/hU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G6v4VLpTC+VRAQAA0QIAABMAHABGb3JtdWxhcy9TZWN0aW9uMS5tIKIYACigFAAAAAAAAAAAAAAAAAAAAAAAAAAAAG2S30vDMBDH3wv9H476MqEOBPFlDB/qEHFTWSv+GEPS9raVJZeSXmBj7H837VDUNC8Jn+9xd9+7NFhwpQnS0305CoMwaDbCYAkzwcWmovVnJnKJMAaJHAbgTqqtKVoy2RUoh4k1BolftdnmWm8H54fFo1A4jrJcpmxLpzXR8rhINLF7L+NTlrMo2Qhau0rZvsbIpesKDTMjqFlpoxItraJWbAankvHhEM0EWSGjGNgJwLjjYwwOPzxPPdiD7nyUaFUjV6wNtH37+iyDORZaKaTStZsiX9jaC0tZGIZS8E+G9s2Vwk6eUPlHFLT/X/1l3mPBaKWh0KXf19NqhQZukUUlG0/NMphWtPXdCIIcQbXbdWZuwDciVO0W7rrxs84xdx462DdHNyH2+Jsj98TXV8N2lx16/w4iq3I0Hfvww3BXSNu4j9n8ntrxPAwq6v1Eoy9QSwECLQAUAAIACAAbq/hUhSphWaYAAAD5AAAAEgAAAAAAAAAAAAAAAAAAAAAAQ29uZmlnL1BhY2thZ2UueG1sUEsBAi0AFAACAAgAG6v4VA/K6aukAAAA6QAAABMAAAAAAAAAAAAAAAAA8gAAAFtDb250ZW50X1R5cGVzXS54bWxQSwECLQAUAAIACAAbq/hUulML5VEBAADRAgAAEwAAAAAAAAAAAAAAAADjAQAARm9ybXVsYXMvU2VjdGlvbjEubVBLBQYAAAAAAwADAMIAAACBAwAAAAAQAQAA77u/PD94bWwgdmVyc2lvbj0iMS4wIiBlbmNvZGluZz0idXRmLTgiPz48UGVybWlzc2lvbkxpc3QgeG1sbnM6eHNkPSJodHRwOi8vd3d3LnczLm9yZy8yMDAxL1hNTFNjaGVtYSIgeG1sbnM6eHNpPSJodHRwOi8vd3d3LnczLm9yZy8yMDAxL1hNTFNjaGVtYS1pbnN0YW5jZSI+PENhbkV2YWx1YXRlRnV0dXJlUGFja2FnZXM+ZmFsc2U8L0NhbkV2YWx1YXRlRnV0dXJlUGFja2FnZXM+PEZpcmV3YWxsRW5hYmxlZD50cnVlPC9GaXJld2FsbEVuYWJsZWQ+PC9QZXJtaXNzaW9uTGlzdD44EwAAAAAAABYTAADvu788P3htbCB2ZXJzaW9uPSIxLjAiIGVuY29kaW5nPSJ1dGYtOCI/PjxMb2NhbFBhY2thZ2VNZXRhZGF0YUZpbGUgeG1sbnM6eHNkPSJodHRwOi8vd3d3LnczLm9yZy8yMDAxL1hNTFNjaGVtYSIgeG1sbnM6eHNpPSJodHRwOi8vd3d3LnczLm9yZy8yMDAxL1hNTFNjaGVtYS1pbnN0YW5jZSI+PEl0ZW1zPjxJdGVtPjxJdGVtTG9jYXRpb24+PEl0ZW1UeXBlPkFsbEZvcm11bGFzPC9JdGVtVHlwZT48SXRlbVBhdGggLz48L0l0ZW1Mb2NhdGlvbj48U3RhYmxlRW50cmllcz48RW50cnkgVHlwZT0iUmVsYXRpb25zaGlwcyIgVmFsdWU9InNBQUFBQUE9PSIgLz48L1N0YWJsZUVudHJpZXM+PC9JdGVtPjxJdGVtPjxJdGVtTG9jYXRpb24+PEl0ZW1UeXBlPkZvcm11bGE8L0l0ZW1UeXBlPjxJdGVtUGF0aD5TZWN0aW9uMS9NYXRjaGluZ19UYWJsZTwvSXRlbVBhdGg+PC9JdGVtTG9jYXRpb24+PFN0YWJsZUVudHJpZXM+PEVudHJ5IFR5cGU9IklzUHJpdmF0ZSIgVmFsdWU9ImwwIiAvPjxFbnRyeSBUeXBlPSJGaWxsRW5hYmxlZCIgVmFsdWU9ImwwIiAvPjxFbnRyeSBUeXBlPSJGaWxsT2JqZWN0VHlwZSIgVmFsdWU9InNDb25uZWN0aW9uT25seSIgLz48RW50cnkgVHlwZT0iRmlsbFRvRGF0YU1vZGVsRW5hYmxlZCIgVmFsdWU9ImwwIiAvPjxFbnRyeSBUeXBlPSJOYXZpZ2F0aW9uU3RlcE5hbWUiIFZhbHVlPSJzTmF2aWdhdGlvbiIgLz48RW50cnkgVHlwZT0iTmFtZVVwZGF0ZWRBZnRlckZpbGwiIFZhbHVlPSJsMCIgLz48RW50cnkgVHlwZT0iUmVzdWx0VHlwZSIgVmFsdWU9InNFeGNlcHRpb24iIC8+PEVudHJ5IFR5cGU9IkJ1ZmZlck5leHRSZWZyZXNoIiBWYWx1ZT0ibDEiIC8+PEVudHJ5IFR5cGU9IkZpbGxlZENvbXBsZXRlUmVzdWx0VG9Xb3Jrc2hlZXQiIFZhbHVlPSJsMSIgLz48RW50cnkgVHlwZT0iQWRkZWRUb0RhdGFNb2RlbCIgVmFsdWU9ImwwIiAvPjxFbnRyeSBUeXBlPSJGaWxsQ291bnQiIFZhbHVlPSJsMTMiIC8+PEVudHJ5IFR5cGU9IkZpbGxFcnJvckNvZGUiIFZhbHVlPSJzVW5rbm93biIgLz48RW50cnkgVHlwZT0iRmlsbEVycm9yQ291bnQiIFZhbHVlPSJsMCIgLz48RW50cnkgVHlwZT0iRmlsbExhc3RVcGRhdGVkIiBWYWx1ZT0iZDIwMjItMDctMDFUMTA6MDc6MTAuMTcxNzMwMloiIC8+PEVudHJ5IFR5cGU9IkZpbGxDb2x1bW5UeXBlcyIgVmFsdWU9InNCZ1lHQmdZR0J3QUdCZ1lHQmdZR0JnTUZBd0E9IiAvPjxFbnRyeSBUeXBlPSJGaWxsQ29sdW1uTmFtZXMiIFZhbHVlPSJzWyZxdW90O01hbnVhbCZxdW90OywmcXVvdDtNS1BMJnF1b3Q7LCZxdW90O1BMJnF1b3Q7LCZxdW90O0dMJnF1b3Q7LCZxdW90O0NvbXBldGl0b3IgTmFtZSZxdW90OywmcXVvdDtDTVQgUmVjb21tZW5kZWQgU2V0LXVwJnF1b3Q7LCZxdW90O1N0YXJ0IGRhdGUmcXVvdDssJnF1b3Q7RW5kIGRhdGUmcXVvdDssJnF1b3Q7Q29tcGV0aXRvciBVUkwmcXVvdDssJnF1b3Q7UHJvbW8gY29kZSZxdW90OywmcXVvdDtPZmZlciBEZXRhaWxzJnF1b3Q7LCZxdW90O1RUIExpbmsmcXVvdDssJnF1b3Q7Q2FuIGJlIG1hdGNoZWQgPyAmcXVvdDssJnF1b3Q7U2FtcGxlIFVSTHMmcXVvdDssJnF1b3Q7UmViYXRlIHR5cGUmcXVvdDssJnF1b3Q7Q29tbWVudCZxdW90OywmcXVvdDtYJnF1b3Q7LCZxdW90O1kmcXVvdDssJnF1b3Q7WiZxdW90OywmcXVvdDtleGNsdXNpb25zJnF1b3Q7XSIgLz48RW50cnkgVHlwZT0iRmlsbFN0YXR1cyIgVmFsdWU9InNDb21wbGV0ZSIgLz48RW50cnkgVHlwZT0iUmVsYXRpb25zaGlwSW5mb0NvbnRhaW5lciIgVmFsdWU9InN7JnF1b3Q7Y29sdW1uQ291bnQmcXVvdDs6MjAsJnF1b3Q7a2V5Q29sdW1uTmFtZXMmcXVvdDs6W10sJnF1b3Q7cXVlcnlSZWxhdGlvbnNoaXBzJnF1b3Q7OltdLCZxdW90O2NvbHVtbklkZW50aXRpZXMmcXVvdDs6WyZxdW90O1NlY3Rpb24xL01hdGNoaW5nX1RhYmxlL0NoYW5nZWQgVHlwZS57TWFudWFsLDB9JnF1b3Q7LCZxdW90O1NlY3Rpb24xL01hdGNoaW5nX1RhYmxlL0NoYW5nZWQgVHlwZS57TUtQTCwxfSZxdW90OywmcXVvdDtTZWN0aW9uMS9NYXRjaGluZ19UYWJsZS9DaGFuZ2VkIFR5cGUue1BMLDJ9JnF1b3Q7LCZxdW90O1NlY3Rpb24xL01hdGNoaW5nX1RhYmxlL0NoYW5nZWQgVHlwZS57R0wsM30mcXVvdDssJnF1b3Q7U2VjdGlvbjEvTWF0Y2hpbmdfVGFibGUvQ2hhbmdlZCBUeXBlLntDb21wZXRpdG9yIE5hbWUsNH0mcXVvdDssJnF1b3Q7U2VjdGlvbjEvTWF0Y2hpbmdfVGFibGUvQ2hhbmdlZCBUeXBlLntDTVQgUmVjb21tZW5kZWQgU2V0LXVwLDV9JnF1b3Q7LCZxdW90O1NlY3Rpb24xL01hdGNoaW5nX1RhYmxlL0NoYW5nZWQgVHlwZS57U3RhcnQgZGF0ZSw2fSZxdW90OywmcXVvdDtTZWN0aW9uMS9NYXRjaGluZ19UYWJsZS9DaGFuZ2VkIFR5cGUue0VuZCBkYXRlLDd9JnF1b3Q7LCZxdW90O1NlY3Rpb24xL01hdGNoaW5nX1RhYmxlL0NoYW5nZWQgVHlwZS57Q29tcGV0aXRvciBVUkwsOH0mcXVvdDssJnF1b3Q7U2VjdGlvbjEvTWF0Y2hpbmdfVGFibGUvQ2hhbmdlZCBUeXBlLntQcm9tbyBjb2RlLDl9JnF1b3Q7LCZxdW90O1NlY3Rpb24xL01hdGNoaW5nX1RhYmxlL0NoYW5nZWQgVHlwZS57T2ZmZXIgRGV0YWlscywxMH0mcXVvdDssJnF1b3Q7U2VjdGlvbjEvTWF0Y2hpbmdfVGFibGUvQ2hhbmdlZCBUeXBlLntUVCBMaW5rLDExfSZxdW90OywmcXVvdDtTZWN0aW9uMS9NYXRjaGluZ19UYWJsZS9DaGFuZ2VkIFR5cGUue0NhbiBiZSBtYXRjaGVkID8gLDEyfSZxdW90OywmcXVvdDtTZWN0aW9uMS9NYXRjaGluZ19UYWJsZS9DaGFuZ2VkIFR5cGUue1NhbXBsZSBVUkxzLDEzfSZxdW90OywmcXVvdDtTZWN0aW9uMS9NYXRjaGluZ19UYWJsZS9DaGFuZ2VkIFR5cGUue1JlYmF0ZSB0eXBlLDE0fSZxdW90OywmcXVvdDtTZWN0aW9uMS9NYXRjaGluZ19UYWJsZS9DaGFuZ2VkIFR5cGUue0NvbW1lbnQsMTV9JnF1b3Q7LCZxdW90O1NlY3Rpb24xL01hdGNoaW5nX1RhYmxlL0NoYW5nZWQgVHlwZS57WCwxNn0mcXVvdDssJnF1b3Q7U2VjdGlvbjEvTWF0Y2hpbmdfVGFibGUvQ2hhbmdlZCBUeXBlLntZLDE3fSZxdW90OywmcXVvdDtTZWN0aW9uMS9NYXRjaGluZ19UYWJsZS9DaGFuZ2VkIFR5cGUue1osMTh9JnF1b3Q7LCZxdW90O1NlY3Rpb24xL01hdGNoaW5nX1RhYmxlL0NoYW5nZWQgVHlwZS57ZXhjbHVzaW9ucywxOX0mcXVvdDtdLCZxdW90O0NvbHVtbkNvdW50JnF1b3Q7OjIwLCZxdW90O0tleUNvbHVtbk5hbWVzJnF1b3Q7OltdLCZxdW90O0NvbHVtbklkZW50aXRpZXMmcXVvdDs6WyZxdW90O1NlY3Rpb24xL01hdGNoaW5nX1RhYmxlL0NoYW5nZWQgVHlwZS57TWFudWFsLDB9JnF1b3Q7LCZxdW90O1NlY3Rpb24xL01hdGNoaW5nX1RhYmxlL0NoYW5nZWQgVHlwZS57TUtQTCwxfSZxdW90OywmcXVvdDtTZWN0aW9uMS9NYXRjaGluZ19UYWJsZS9DaGFuZ2VkIFR5cGUue1BMLDJ9JnF1b3Q7LCZxdW90O1NlY3Rpb24xL01hdGNoaW5nX1RhYmxlL0NoYW5nZWQgVHlwZS57R0wsM30mcXVvdDssJnF1b3Q7U2VjdGlvbjEvTWF0Y2hpbmdfVGFibGUvQ2hhbmdlZCBUeXBlLntDb21wZXRpdG9yIE5hbWUsNH0mcXVvdDssJnF1b3Q7U2VjdGlvbjEvTWF0Y2hpbmdfVGFibGUvQ2hhbmdlZCBUeXBlLntDTVQgUmVjb21tZW5kZWQgU2V0LXVwLDV9JnF1b3Q7LCZxdW90O1NlY3Rpb24xL01hdGNoaW5nX1RhYmxlL0NoYW5nZWQgVHlwZS57U3RhcnQgZGF0ZSw2fSZxdW90OywmcXVvdDtTZWN0aW9uMS9NYXRjaGluZ19UYWJsZS9DaGFuZ2VkIFR5cGUue0VuZCBkYXRlLDd9JnF1b3Q7LCZxdW90O1NlY3Rpb24xL01hdGNoaW5nX1RhYmxlL0NoYW5nZWQgVHlwZS57Q29tcGV0aXRvciBVUkwsOH0mcXVvdDssJnF1b3Q7U2VjdGlvbjEvTWF0Y2hpbmdfVGFibGUvQ2hhbmdlZCBUeXBlLntQcm9tbyBjb2RlLDl9JnF1b3Q7LCZxdW90O1NlY3Rpb24xL01hdGNoaW5nX1RhYmxlL0NoYW5nZWQgVHlwZS57T2ZmZXIgRGV0YWlscywxMH0mcXVvdDssJnF1b3Q7U2VjdGlvbjEvTWF0Y2hpbmdfVGFibGUvQ2hhbmdlZCBUeXBlLntUVCBMaW5rLDExfSZxdW90OywmcXVvdDtTZWN0aW9uMS9NYXRjaGluZ19UYWJsZS9DaGFuZ2VkIFR5cGUue0NhbiBiZSBtYXRjaGVkID8gLDEyfSZxdW90OywmcXVvdDtTZWN0aW9uMS9NYXRjaGluZ19UYWJsZS9DaGFuZ2VkIFR5cGUue1NhbXBsZSBVUkxzLDEzfSZxdW90OywmcXVvdDtTZWN0aW9uMS9NYXRjaGluZ19UYWJsZS9DaGFuZ2VkIFR5cGUue1JlYmF0ZSB0eXBlLDE0fSZxdW90OywmcXVvdDtTZWN0aW9uMS9NYXRjaGluZ19UYWJsZS9DaGFuZ2VkIFR5cGUue0NvbW1lbnQsMTV9JnF1b3Q7LCZxdW90O1NlY3Rpb24xL01hdGNoaW5nX1RhYmxlL0NoYW5nZWQgVHlwZS57WCwxNn0mcXVvdDssJnF1b3Q7U2VjdGlvbjEvTWF0Y2hpbmdfVGFibGUvQ2hhbmdlZCBUeXBlLntZLDE3fSZxdW90OywmcXVvdDtTZWN0aW9uMS9NYXRjaGluZ19UYWJsZS9DaGFuZ2VkIFR5cGUue1osMTh9JnF1b3Q7LCZxdW90O1NlY3Rpb24xL01hdGNoaW5nX1RhYmxlL0NoYW5nZWQgVHlwZS57ZXhjbHVzaW9ucywxOX0mcXVvdDtdLCZxdW90O1JlbGF0aW9uc2hpcEluZm8mcXVvdDs6W119IiAvPjwvU3RhYmxlRW50cmllcz48L0l0ZW0+PEl0ZW0+PEl0ZW1Mb2NhdGlvbj48SXRlbVR5cGU+Rm9ybXVsYTwvSXRlbVR5cGU+PEl0ZW1QYXRoPlNlY3Rpb24xL01hdGNoaW5nX1RhYmxlL1NvdXJjZTwvSXRlbVBhdGg+PC9JdGVtTG9jYXRpb24+PFN0YWJsZUVudHJpZXMgLz48L0l0ZW0+PEl0ZW0+PEl0ZW1Mb2NhdGlvbj48SXRlbVR5cGU+Rm9ybXVsYTwvSXRlbVR5cGU+PEl0ZW1QYXRoPlNlY3Rpb24xL01hdGNoaW5nX1RhYmxlL0NoYW5nZWQlMjBUeXBlPC9JdGVtUGF0aD48L0l0ZW1Mb2NhdGlvbj48U3RhYmxlRW50cmllcyAvPjwvSXRlbT48L0l0ZW1zPjwvTG9jYWxQYWNrYWdlTWV0YWRhdGFGaWxlPhYAAABQSwUGAAAAAAAAAAAAAAAAAAAAAAAA2gAAAAEAAADQjJ3fARXREYx6AMBPwpfrAQAAAPuQ56HAbgxKhjnvphYwvYkAAAAAAgAAAAAAA2YAAMAAAAAQAAAAfeWiDp0pjEi8bToIGciaswAAAAAEgAAAoAAAABAAAAAcKZ2UuqwJ7+n8jWlufFNYUAAAAN7FI2jNJH++fh8Bu4hEHljj8H7R5rhHMZQwJpaVZmcqhN8mgHKsNDBVk59OtbvgBp3zN7NH2HnriYxEYUTG9wcqVh/vIX4oBFTsd4vaAnuIFAAAAFCruReb5f9gwum0JG81Y0k//JxD</DataMashup>
</file>

<file path=customXml/itemProps1.xml><?xml version="1.0" encoding="utf-8"?>
<ds:datastoreItem xmlns:ds="http://schemas.openxmlformats.org/officeDocument/2006/customXml" ds:itemID="{C2CA1B7C-D09D-4FB9-9960-CD7DB1CCFD4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364</TotalTime>
  <Application>LibreOffice/7.3.3.2$Linux_X86_64 LibreOffice_project/30$Build-2</Application>
  <AppVersion>15.0000</AppVersion>
  <Company>Amazon</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2022-01-02T10:24:42Z</dcterms:created>
  <dc:creator>banerji, Sayantan;Shetty, Supreeth</dc:creator>
  <dc:description/>
  <dc:language>en-IN</dc:language>
  <cp:lastModifiedBy/>
  <dcterms:modified xsi:type="dcterms:W3CDTF">2022-07-28T16:34:48Z</dcterms:modified>
  <cp:revision>3</cp:revision>
  <dc:subject/>
  <dc:title/>
</cp:coreProperties>
</file>

<file path=docProps/custom.xml><?xml version="1.0" encoding="utf-8"?>
<Properties xmlns="http://schemas.openxmlformats.org/officeDocument/2006/custom-properties" xmlns:vt="http://schemas.openxmlformats.org/officeDocument/2006/docPropsVTypes"/>
</file>